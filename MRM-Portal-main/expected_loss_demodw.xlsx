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1q63kz-my.sharepoint.com/personal/testuser_1q63kz_onmicrosoft_com/Documents/"/>
    </mc:Choice>
  </mc:AlternateContent>
  <xr:revisionPtr revIDLastSave="0" documentId="8_{559EFEE5-8813-45F1-984A-121130CD9568}" xr6:coauthVersionLast="47" xr6:coauthVersionMax="47" xr10:uidLastSave="{00000000-0000-0000-0000-000000000000}"/>
  <bookViews>
    <workbookView xWindow="2910" yWindow="2910" windowWidth="10350" windowHeight="10590" xr2:uid="{3E3632BA-DFA7-4F62-9A75-01FF3E408E1B}"/>
  </bookViews>
  <sheets>
    <sheet name="PoD Calc" sheetId="5" r:id="rId1"/>
    <sheet name="Spreadsheet Agent" sheetId="6" r:id="rId2"/>
    <sheet name="Sheet1" sheetId="7" r:id="rId3"/>
    <sheet name="Sheet2" sheetId="8" r:id="rId4"/>
    <sheet name="Sheet3"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9" l="1"/>
  <c r="C10" i="9"/>
  <c r="L44" i="5"/>
  <c r="T44" i="5"/>
  <c r="H1" i="7"/>
  <c r="C1" i="7"/>
  <c r="K21" i="5"/>
  <c r="K28" i="5" s="1"/>
  <c r="K35" i="5" s="1"/>
  <c r="F1" i="7" s="1"/>
  <c r="W14" i="5"/>
  <c r="X14" i="5" a="1"/>
  <c r="AN44" i="5" a="1"/>
  <c r="AL53" i="5" a="1"/>
  <c r="AM51" i="5" a="1"/>
  <c r="AQ44" i="5" a="1"/>
  <c r="AM50" i="5" a="1"/>
  <c r="AP44" i="5" a="1"/>
  <c r="AO49" i="5" a="1"/>
  <c r="AN46" i="5" a="1"/>
  <c r="AL51" i="5" a="1"/>
  <c r="AO50" i="5" a="1"/>
  <c r="AN43" i="5" a="1"/>
  <c r="AQ46" i="5" a="1"/>
  <c r="AP49" i="5" a="1"/>
  <c r="AQ52" i="5" a="1"/>
  <c r="AO52" i="5" a="1"/>
  <c r="AO48" i="5" a="1"/>
  <c r="AQ43" i="5" a="1"/>
  <c r="AO45" i="5" a="1"/>
  <c r="AO43" i="5" a="1"/>
  <c r="AL42" i="5" a="1"/>
  <c r="AN47" i="5" a="1"/>
  <c r="AM49" i="5" a="1"/>
  <c r="AQ45" i="5" a="1"/>
  <c r="AP43" i="5" a="1"/>
  <c r="AO53" i="5" a="1"/>
  <c r="AP46" i="5" a="1"/>
  <c r="AO44" i="5" a="1"/>
  <c r="AM46" i="5" a="1"/>
  <c r="AL52" i="5" a="1"/>
  <c r="AQ48" i="5" a="1"/>
  <c r="AM43" i="5" a="1"/>
  <c r="AQ53" i="5" a="1"/>
  <c r="AL45" i="5" a="1"/>
  <c r="AM45" i="5" a="1"/>
  <c r="AP48" i="5" a="1"/>
  <c r="AN52" i="5" a="1"/>
  <c r="AP52" i="5" a="1"/>
  <c r="AQ47" i="5" a="1"/>
  <c r="AP47" i="5" a="1"/>
  <c r="AM47" i="5" a="1"/>
  <c r="AQ42" i="5" a="1"/>
  <c r="AN45" i="5" a="1"/>
  <c r="AM53" i="5" a="1"/>
  <c r="AP42" i="5" a="1"/>
  <c r="AL43" i="5" a="1"/>
  <c r="AN42" i="5" a="1"/>
  <c r="AQ51" i="5" a="1"/>
  <c r="AP45" i="5" a="1"/>
  <c r="AQ49" i="5" a="1"/>
  <c r="AM48" i="5" a="1"/>
  <c r="AP50" i="5" a="1"/>
  <c r="AO51" i="5" a="1"/>
  <c r="AN50" i="5" a="1"/>
  <c r="AO46" i="5" a="1"/>
  <c r="AP53" i="5" a="1"/>
  <c r="AL44" i="5" a="1"/>
  <c r="AM52" i="5" a="1"/>
  <c r="AQ50" i="5" a="1"/>
  <c r="AN49" i="5" a="1"/>
  <c r="AN53" i="5" a="1"/>
  <c r="AL48" i="5" a="1"/>
  <c r="AL49" i="5" a="1"/>
  <c r="AP51" i="5" a="1"/>
  <c r="AO42" i="5" a="1"/>
  <c r="AL50" i="5" a="1"/>
  <c r="AN48" i="5" a="1"/>
  <c r="AM42" i="5" a="1"/>
  <c r="AO47" i="5" a="1"/>
  <c r="AN51" i="5" a="1"/>
  <c r="AM44" i="5" a="1"/>
  <c r="AL46" i="5" a="1"/>
  <c r="AL47" i="5" a="1"/>
  <c r="E1" i="7" l="1"/>
  <c r="D1" i="7"/>
  <c r="AQ53" i="5"/>
  <c r="AO53" i="5"/>
  <c r="AM53" i="5"/>
  <c r="AQ52" i="5"/>
  <c r="AO52" i="5"/>
  <c r="AM52" i="5"/>
  <c r="AQ51" i="5"/>
  <c r="AO51" i="5"/>
  <c r="AM51" i="5"/>
  <c r="AQ50" i="5"/>
  <c r="AO50" i="5"/>
  <c r="AM50" i="5"/>
  <c r="AQ49" i="5"/>
  <c r="AO49" i="5"/>
  <c r="AM49" i="5"/>
  <c r="AQ48" i="5"/>
  <c r="AO48" i="5"/>
  <c r="AM48" i="5"/>
  <c r="AQ47" i="5"/>
  <c r="AO47" i="5"/>
  <c r="AM47" i="5"/>
  <c r="AQ46" i="5"/>
  <c r="AO46" i="5"/>
  <c r="AM46" i="5"/>
  <c r="AQ45" i="5"/>
  <c r="AO45" i="5"/>
  <c r="AM45" i="5"/>
  <c r="AQ44" i="5"/>
  <c r="AO44" i="5"/>
  <c r="AM44" i="5"/>
  <c r="AQ43" i="5"/>
  <c r="AO43" i="5"/>
  <c r="AM43" i="5"/>
  <c r="AQ42" i="5"/>
  <c r="AO42" i="5"/>
  <c r="AM42" i="5"/>
  <c r="AP53" i="5"/>
  <c r="AN53" i="5"/>
  <c r="AL53" i="5"/>
  <c r="AP52" i="5"/>
  <c r="AN52" i="5"/>
  <c r="AL52" i="5"/>
  <c r="AP51" i="5"/>
  <c r="AN51" i="5"/>
  <c r="AL51" i="5"/>
  <c r="AP50" i="5"/>
  <c r="AN50" i="5"/>
  <c r="AL50" i="5"/>
  <c r="AP49" i="5"/>
  <c r="AN49" i="5"/>
  <c r="AL49" i="5"/>
  <c r="AP48" i="5"/>
  <c r="AN48" i="5"/>
  <c r="AL48" i="5"/>
  <c r="AP47" i="5"/>
  <c r="AN47" i="5"/>
  <c r="AL47" i="5"/>
  <c r="AP46" i="5"/>
  <c r="AN46" i="5"/>
  <c r="AL46" i="5"/>
  <c r="AP45" i="5"/>
  <c r="AN45" i="5"/>
  <c r="AL45" i="5"/>
  <c r="AP44" i="5"/>
  <c r="AN44" i="5"/>
  <c r="AL44" i="5"/>
  <c r="AP43" i="5"/>
  <c r="AN43" i="5"/>
  <c r="AL43" i="5"/>
  <c r="AP42" i="5"/>
  <c r="AN42" i="5"/>
  <c r="AL42" i="5"/>
  <c r="X14" i="5"/>
  <c r="AN33" i="5" a="1"/>
  <c r="AQ41" i="5" a="1"/>
  <c r="AM26" i="5" a="1"/>
  <c r="AL17" i="5" a="1"/>
  <c r="AP37" i="5" a="1"/>
  <c r="AL21" i="5" a="1"/>
  <c r="AS53" i="5" a="1"/>
  <c r="AM35" i="5" a="1"/>
  <c r="AO38" i="5" a="1"/>
  <c r="AM30" i="5" a="1"/>
  <c r="AQ17" i="5" a="1"/>
  <c r="AP33" i="5" a="1"/>
  <c r="AP35" i="5" a="1"/>
  <c r="AL35" i="5" a="1"/>
  <c r="AO14" i="5" a="1"/>
  <c r="AQ21" i="5" a="1"/>
  <c r="AL27" i="5" a="1"/>
  <c r="AL31" i="5" a="1"/>
  <c r="AN29" i="5" a="1"/>
  <c r="AS48" i="5" a="1"/>
  <c r="AN17" i="5" a="1"/>
  <c r="AN22" i="5" a="1"/>
  <c r="AP31" i="5" a="1"/>
  <c r="AM31" i="5" a="1"/>
  <c r="AO23" i="5" a="1"/>
  <c r="AP24" i="5" a="1"/>
  <c r="AO29" i="5" a="1"/>
  <c r="AP39" i="5" a="1"/>
  <c r="AN24" i="5" a="1"/>
  <c r="AL22" i="5" a="1"/>
  <c r="X7" i="5" a="1"/>
  <c r="AL33" i="5" a="1"/>
  <c r="AS45" i="5" a="1"/>
  <c r="L28" i="5" a="1"/>
  <c r="AS42" i="5" a="1"/>
  <c r="AO32" i="5" a="1"/>
  <c r="AP36" i="5" a="1"/>
  <c r="AP29" i="5" a="1"/>
  <c r="AO19" i="5" a="1"/>
  <c r="AQ14" i="5" a="1"/>
  <c r="AP15" i="5" a="1"/>
  <c r="AS11" i="5"/>
  <c r="AQ28" i="5" a="1"/>
  <c r="AO33" i="5" a="1"/>
  <c r="AM33" i="5" a="1"/>
  <c r="AL16" i="5" a="1"/>
  <c r="AN35" i="5" a="1"/>
  <c r="AO24" i="5" a="1"/>
  <c r="AN36" i="5" a="1"/>
  <c r="AM40" i="5" a="1"/>
  <c r="AO18" i="5" a="1"/>
  <c r="AM29" i="5" a="1"/>
  <c r="AO35" i="5" a="1"/>
  <c r="AO41" i="5" a="1"/>
  <c r="AM14" i="5" a="1"/>
  <c r="AL38" i="5" a="1"/>
  <c r="AP30" i="5" a="1"/>
  <c r="AP18" i="5" a="1"/>
  <c r="AQ20" i="5" a="1"/>
  <c r="AE7" i="5" a="1"/>
  <c r="AS44" i="5" a="1"/>
  <c r="AN18" i="5" a="1"/>
  <c r="AN39" i="5" a="1"/>
  <c r="AL36" i="5" a="1"/>
  <c r="AN16" i="5" a="1"/>
  <c r="AQ24" i="5" a="1"/>
  <c r="AS43" i="5" a="1"/>
  <c r="AM20" i="5" a="1"/>
  <c r="AQ30" i="5" a="1"/>
  <c r="AS50" i="5" a="1"/>
  <c r="AP38" i="5" a="1"/>
  <c r="AO17" i="5" a="1"/>
  <c r="AN20" i="5" a="1"/>
  <c r="AM34" i="5" a="1"/>
  <c r="AQ40" i="5" a="1"/>
  <c r="AP20" i="5" a="1"/>
  <c r="AP26" i="5" a="1"/>
  <c r="AQ34" i="5" a="1"/>
  <c r="AL23" i="5" a="1"/>
  <c r="AM41" i="5" a="1"/>
  <c r="AO27" i="5" a="1"/>
  <c r="AQ29" i="5" a="1"/>
  <c r="AN26" i="5" a="1"/>
  <c r="AN31" i="5" a="1"/>
  <c r="AS52" i="5" a="1"/>
  <c r="AQ38" i="5" a="1"/>
  <c r="AO16" i="5" a="1"/>
  <c r="AS47" i="5" a="1"/>
  <c r="AM21" i="5" a="1"/>
  <c r="AL34" i="5" a="1"/>
  <c r="AL11" i="5"/>
  <c r="AL18" i="5" a="1"/>
  <c r="AQ31" i="5" a="1"/>
  <c r="AQ15" i="5" a="1"/>
  <c r="AO34" i="5" a="1"/>
  <c r="AM27" i="5" a="1"/>
  <c r="AO25" i="5" a="1"/>
  <c r="AO37" i="5" a="1"/>
  <c r="AM23" i="5" a="1"/>
  <c r="AN30" i="5" a="1"/>
  <c r="AQ22" i="5" a="1"/>
  <c r="AO30" i="5" a="1"/>
  <c r="AO20" i="5" a="1"/>
  <c r="AO31" i="5" a="1"/>
  <c r="L14" i="5" a="1"/>
  <c r="AP27" i="5" a="1"/>
  <c r="AM28" i="5" a="1"/>
  <c r="AL24" i="5" a="1"/>
  <c r="AN14" i="5" a="1"/>
  <c r="AO28" i="5" a="1"/>
  <c r="AN37" i="5" a="1"/>
  <c r="W11" i="5"/>
  <c r="AP32" i="5" a="1"/>
  <c r="AN34" i="5" a="1"/>
  <c r="AM32" i="5" a="1"/>
  <c r="AO39" i="5" a="1"/>
  <c r="AP14" i="5" a="1"/>
  <c r="AL20" i="5" a="1"/>
  <c r="AL15" i="5" a="1"/>
  <c r="AL19" i="5" a="1"/>
  <c r="AQ39" i="5" a="1"/>
  <c r="AN19" i="5" a="1"/>
  <c r="AO21" i="5" a="1"/>
  <c r="AN25" i="5" a="1"/>
  <c r="AO40" i="5" a="1"/>
  <c r="AN15" i="5" a="1"/>
  <c r="AP28" i="5" a="1"/>
  <c r="AM36" i="5" a="1"/>
  <c r="AP25" i="5" a="1"/>
  <c r="AQ19" i="5" a="1"/>
  <c r="AM16" i="5" a="1"/>
  <c r="AO26" i="5" a="1"/>
  <c r="AQ33" i="5" a="1"/>
  <c r="AQ36" i="5" a="1"/>
  <c r="AM18" i="5" a="1"/>
  <c r="AM25" i="5" a="1"/>
  <c r="AP21" i="5" a="1"/>
  <c r="AN23" i="5" a="1"/>
  <c r="K11" i="5"/>
  <c r="AQ27" i="5" a="1"/>
  <c r="AP19" i="5" a="1"/>
  <c r="AN40" i="5" a="1"/>
  <c r="AL32" i="5" a="1"/>
  <c r="AL39" i="5" a="1"/>
  <c r="AP23" i="5" a="1"/>
  <c r="AP34" i="5" a="1"/>
  <c r="AL26" i="5" a="1"/>
  <c r="AM15" i="5" a="1"/>
  <c r="AP41" i="5" a="1"/>
  <c r="AQ16" i="5" a="1"/>
  <c r="AN38" i="5" a="1"/>
  <c r="AN28" i="5" a="1"/>
  <c r="AM22" i="5" a="1"/>
  <c r="AO22" i="5" a="1"/>
  <c r="AO15" i="5" a="1"/>
  <c r="AM38" i="5" a="1"/>
  <c r="AP17" i="5" a="1"/>
  <c r="AP22" i="5" a="1"/>
  <c r="AL37" i="5" a="1"/>
  <c r="AP40" i="5" a="1"/>
  <c r="AN27" i="5" a="1"/>
  <c r="AN21" i="5" a="1"/>
  <c r="AS46" i="5" a="1"/>
  <c r="AL41" i="5" a="1"/>
  <c r="AL30" i="5" a="1"/>
  <c r="AM17" i="5" a="1"/>
  <c r="AN32" i="5" a="1"/>
  <c r="AL29" i="5" a="1"/>
  <c r="AQ18" i="5" a="1"/>
  <c r="AQ35" i="5" a="1"/>
  <c r="AL40" i="5" a="1"/>
  <c r="AM37" i="5" a="1"/>
  <c r="AS51" i="5" a="1"/>
  <c r="AQ26" i="5" a="1"/>
  <c r="L35" i="5" a="1"/>
  <c r="AO36" i="5" a="1"/>
  <c r="AP16" i="5" a="1"/>
  <c r="AL28" i="5" a="1"/>
  <c r="AL14" i="5" a="1"/>
  <c r="L21" i="5" a="1"/>
  <c r="AM39" i="5" a="1"/>
  <c r="AQ23" i="5" a="1"/>
  <c r="AM19" i="5" a="1"/>
  <c r="AM24" i="5" a="1"/>
  <c r="AN41" i="5" a="1"/>
  <c r="AL25" i="5" a="1"/>
  <c r="AS49" i="5" a="1"/>
  <c r="AQ32" i="5" a="1"/>
  <c r="AQ25" i="5" a="1"/>
  <c r="AQ37" i="5" a="1"/>
  <c r="B2" i="7" l="1"/>
  <c r="B8" i="7"/>
  <c r="B4" i="7"/>
  <c r="B7" i="7"/>
  <c r="B6" i="7"/>
  <c r="B3" i="7"/>
  <c r="B5" i="7"/>
  <c r="E4" i="7"/>
  <c r="E8" i="7"/>
  <c r="E5" i="7"/>
  <c r="E2" i="7"/>
  <c r="E6" i="7"/>
  <c r="E3" i="7"/>
  <c r="E7" i="7"/>
  <c r="F5" i="7"/>
  <c r="F2" i="7"/>
  <c r="F6" i="7"/>
  <c r="F3" i="7"/>
  <c r="F7" i="7"/>
  <c r="F4" i="7"/>
  <c r="F8" i="7"/>
  <c r="C6" i="7"/>
  <c r="C2" i="7"/>
  <c r="C3" i="7"/>
  <c r="C7" i="7"/>
  <c r="C4" i="7"/>
  <c r="C8" i="7"/>
  <c r="C5" i="7"/>
  <c r="D3" i="7"/>
  <c r="D7" i="7"/>
  <c r="D4" i="7"/>
  <c r="D8" i="7"/>
  <c r="D5" i="7"/>
  <c r="D2" i="7"/>
  <c r="D6" i="7"/>
  <c r="AE7" i="5"/>
  <c r="X7" i="5"/>
  <c r="AS42" i="5"/>
  <c r="AS46" i="5"/>
  <c r="AS45" i="5"/>
  <c r="AS49" i="5"/>
  <c r="AS53" i="5"/>
  <c r="AS44" i="5"/>
  <c r="AS48" i="5"/>
  <c r="AS52" i="5"/>
  <c r="AS50" i="5"/>
  <c r="AS43" i="5"/>
  <c r="AS47" i="5"/>
  <c r="AS51" i="5"/>
  <c r="AN16" i="5"/>
  <c r="AQ26" i="5"/>
  <c r="AP16" i="5"/>
  <c r="AL19" i="5"/>
  <c r="AL35" i="5"/>
  <c r="AO16" i="5"/>
  <c r="AO32" i="5"/>
  <c r="AN28" i="5"/>
  <c r="AP24" i="5"/>
  <c r="AO30" i="5"/>
  <c r="AO27" i="5"/>
  <c r="AQ28" i="5"/>
  <c r="AL41" i="5"/>
  <c r="AL30" i="5"/>
  <c r="AN24" i="5"/>
  <c r="AN27" i="5"/>
  <c r="AQ35" i="5"/>
  <c r="AM33" i="5"/>
  <c r="AN37" i="5"/>
  <c r="AL23" i="5"/>
  <c r="AN40" i="5"/>
  <c r="AP37" i="5"/>
  <c r="AM38" i="5"/>
  <c r="AO14" i="5"/>
  <c r="AL38" i="5"/>
  <c r="AQ21" i="5"/>
  <c r="AQ34" i="5"/>
  <c r="AL18" i="5"/>
  <c r="AL31" i="5"/>
  <c r="AM14" i="5"/>
  <c r="AL27" i="5"/>
  <c r="AO24" i="5"/>
  <c r="AQ37" i="5"/>
  <c r="AN20" i="5"/>
  <c r="AL34" i="5"/>
  <c r="AN35" i="5"/>
  <c r="AM41" i="5"/>
  <c r="AN22" i="5"/>
  <c r="AQ38" i="5"/>
  <c r="AQ17" i="5"/>
  <c r="AM24" i="5"/>
  <c r="AL21" i="5"/>
  <c r="AO36" i="5"/>
  <c r="AP18" i="5"/>
  <c r="AO40" i="5"/>
  <c r="AM21" i="5"/>
  <c r="AP27" i="5"/>
  <c r="AL29" i="5"/>
  <c r="AN31" i="5"/>
  <c r="AO33" i="5"/>
  <c r="L21" i="5"/>
  <c r="AL22" i="5"/>
  <c r="AN32" i="5"/>
  <c r="AQ18" i="5"/>
  <c r="AQ29" i="5"/>
  <c r="AL15" i="5"/>
  <c r="AL26" i="5"/>
  <c r="AN36" i="5"/>
  <c r="AN19" i="5"/>
  <c r="AP29" i="5"/>
  <c r="AN39" i="5"/>
  <c r="AQ19" i="5"/>
  <c r="AM17" i="5"/>
  <c r="AM39" i="5"/>
  <c r="AO34" i="5"/>
  <c r="AL28" i="5"/>
  <c r="AP41" i="5"/>
  <c r="AP30" i="5"/>
  <c r="AQ25" i="5"/>
  <c r="AM32" i="5"/>
  <c r="AP36" i="5"/>
  <c r="AP35" i="5"/>
  <c r="AN17" i="5"/>
  <c r="AP25" i="5"/>
  <c r="AM28" i="5"/>
  <c r="AP21" i="5"/>
  <c r="AP32" i="5"/>
  <c r="AQ40" i="5"/>
  <c r="AQ24" i="5"/>
  <c r="AM22" i="5"/>
  <c r="AO18" i="5"/>
  <c r="AL33" i="5"/>
  <c r="AO41" i="5"/>
  <c r="AP23" i="5"/>
  <c r="AQ14" i="5"/>
  <c r="AO21" i="5"/>
  <c r="AL16" i="5"/>
  <c r="AP14" i="5"/>
  <c r="AP31" i="5"/>
  <c r="AP20" i="5"/>
  <c r="AM23" i="5"/>
  <c r="L28" i="5"/>
  <c r="AQ23" i="5"/>
  <c r="AL17" i="5"/>
  <c r="AO39" i="5"/>
  <c r="AO38" i="5"/>
  <c r="AO23" i="5"/>
  <c r="AN34" i="5"/>
  <c r="AO28" i="5"/>
  <c r="AM35" i="5"/>
  <c r="AQ39" i="5"/>
  <c r="AM29" i="5"/>
  <c r="AQ41" i="5"/>
  <c r="AO31" i="5"/>
  <c r="AN38" i="5"/>
  <c r="AN15" i="5"/>
  <c r="AP40" i="5"/>
  <c r="AO17" i="5"/>
  <c r="AQ16" i="5"/>
  <c r="AQ27" i="5"/>
  <c r="AP38" i="5"/>
  <c r="AL14" i="5"/>
  <c r="AM25" i="5"/>
  <c r="AO35" i="5"/>
  <c r="AQ20" i="5"/>
  <c r="AQ31" i="5"/>
  <c r="AN14" i="5"/>
  <c r="AL25" i="5"/>
  <c r="AL36" i="5"/>
  <c r="AM34" i="5"/>
  <c r="AP15" i="5"/>
  <c r="AQ33" i="5"/>
  <c r="AM19" i="5"/>
  <c r="L14" i="5"/>
  <c r="AQ30" i="5"/>
  <c r="AO37" i="5"/>
  <c r="AM16" i="5"/>
  <c r="AP26" i="5"/>
  <c r="AM37" i="5"/>
  <c r="AO15" i="5"/>
  <c r="AP22" i="5"/>
  <c r="AN18" i="5"/>
  <c r="AN21" i="5"/>
  <c r="AP28" i="5"/>
  <c r="AP17" i="5"/>
  <c r="AM31" i="5"/>
  <c r="AM20" i="5"/>
  <c r="AO22" i="5"/>
  <c r="AQ32" i="5"/>
  <c r="AO19" i="5"/>
  <c r="AM30" i="5"/>
  <c r="AQ15" i="5"/>
  <c r="AO26" i="5"/>
  <c r="AQ36" i="5"/>
  <c r="AL20" i="5"/>
  <c r="AN30" i="5"/>
  <c r="AP39" i="5"/>
  <c r="AL40" i="5"/>
  <c r="AP19" i="5"/>
  <c r="AN41" i="5"/>
  <c r="AQ22" i="5"/>
  <c r="AO29" i="5"/>
  <c r="AL32" i="5"/>
  <c r="AP34" i="5"/>
  <c r="AM40" i="5"/>
  <c r="AO20" i="5"/>
  <c r="AM27" i="5"/>
  <c r="AN26" i="5"/>
  <c r="AN29" i="5"/>
  <c r="AL39" i="5"/>
  <c r="AM18" i="5"/>
  <c r="AN25" i="5"/>
  <c r="AL24" i="5"/>
  <c r="AM26" i="5"/>
  <c r="AN33" i="5"/>
  <c r="AL37" i="5"/>
  <c r="AP33" i="5"/>
  <c r="AN23" i="5"/>
  <c r="AM36" i="5"/>
  <c r="AO25" i="5"/>
  <c r="AM15" i="5"/>
  <c r="L35" i="5"/>
  <c r="AS21" i="5" a="1"/>
  <c r="AS30" i="5" a="1"/>
  <c r="AS31" i="5" a="1"/>
  <c r="AS23" i="5" a="1"/>
  <c r="AS15" i="5" a="1"/>
  <c r="AS19" i="5" a="1"/>
  <c r="AS33" i="5" a="1"/>
  <c r="AM7" i="5" a="1"/>
  <c r="AS14" i="5" a="1"/>
  <c r="AS38" i="5" a="1"/>
  <c r="AS17" i="5" a="1"/>
  <c r="AS20" i="5" a="1"/>
  <c r="AS40" i="5" a="1"/>
  <c r="AO7" i="5" a="1"/>
  <c r="AS29" i="5" a="1"/>
  <c r="AS39" i="5" a="1"/>
  <c r="AS18" i="5" a="1"/>
  <c r="AS36" i="5" a="1"/>
  <c r="AS22" i="5" a="1"/>
  <c r="AS26" i="5" a="1"/>
  <c r="AS16" i="5" a="1"/>
  <c r="AS34" i="5" a="1"/>
  <c r="AS41" i="5" a="1"/>
  <c r="AS25" i="5" a="1"/>
  <c r="Q7" i="5" a="1"/>
  <c r="L7" i="5" a="1"/>
  <c r="AS24" i="5" a="1"/>
  <c r="AS37" i="5" a="1"/>
  <c r="AS35" i="5" a="1"/>
  <c r="AS32" i="5" a="1"/>
  <c r="AS28" i="5" a="1"/>
  <c r="AS27" i="5" a="1"/>
  <c r="L7" i="5" l="1"/>
  <c r="Q7" i="5"/>
  <c r="AM7" i="5"/>
  <c r="AO7" i="5"/>
  <c r="AS25" i="5"/>
  <c r="AS27" i="5"/>
  <c r="AS18" i="5"/>
  <c r="AS38" i="5"/>
  <c r="AS37" i="5"/>
  <c r="AS24" i="5"/>
  <c r="AS32" i="5"/>
  <c r="AS40" i="5"/>
  <c r="AS14" i="5"/>
  <c r="AS16" i="5"/>
  <c r="AS28" i="5"/>
  <c r="AS15" i="5"/>
  <c r="AS22" i="5"/>
  <c r="AS23" i="5"/>
  <c r="AS30" i="5"/>
  <c r="AS35" i="5"/>
  <c r="AS39" i="5"/>
  <c r="AS36" i="5"/>
  <c r="AS29" i="5"/>
  <c r="AS21" i="5"/>
  <c r="AS31" i="5"/>
  <c r="AS19" i="5"/>
  <c r="AS20" i="5"/>
  <c r="AS17" i="5"/>
  <c r="AS33" i="5"/>
  <c r="AS26" i="5"/>
  <c r="AS34" i="5"/>
  <c r="AS41" i="5"/>
  <c r="AT7" i="5" a="1"/>
  <c r="C8" i="6" a="1"/>
  <c r="C8" i="6" l="1"/>
  <c r="AT7" i="5"/>
  <c r="C12" i="6" a="1"/>
  <c r="G12" i="6" a="1"/>
  <c r="E12" i="6" a="1"/>
  <c r="G12" i="6" l="1"/>
  <c r="E12" i="6"/>
  <c r="C12" i="6"/>
  <c r="C16" i="6" a="1"/>
  <c r="C16" i="6" l="1"/>
  <c r="G16" i="6" a="1"/>
  <c r="E16" i="6" a="1"/>
  <c r="G16" i="6" l="1"/>
  <c r="E16" i="6"/>
  <c r="G20" i="6" a="1"/>
  <c r="G20" i="6" l="1"/>
  <c r="C20" i="6" a="1"/>
  <c r="E20" i="6" a="1"/>
  <c r="C20" i="6" l="1"/>
  <c r="E20" i="6"/>
  <c r="C24" i="6" a="1"/>
  <c r="C24" i="6" l="1"/>
  <c r="C28" i="6" a="1"/>
  <c r="C28"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<sst xmlns="http://schemas.openxmlformats.org/spreadsheetml/2006/main" count="118" uniqueCount="88">
  <si>
    <t>curve date</t>
  </si>
  <si>
    <t>loan id</t>
  </si>
  <si>
    <t>interest rate</t>
  </si>
  <si>
    <t>loan purpose</t>
  </si>
  <si>
    <t>credit score</t>
  </si>
  <si>
    <t>debt to income ratio</t>
  </si>
  <si>
    <t>loan to value ratio</t>
  </si>
  <si>
    <t>delinquency 30d past 12m</t>
  </si>
  <si>
    <t xml:space="preserve">original principle </t>
  </si>
  <si>
    <t>tenor</t>
  </si>
  <si>
    <t>tenor (years)</t>
  </si>
  <si>
    <t>discount factor</t>
  </si>
  <si>
    <t>AAA spread</t>
  </si>
  <si>
    <t>AA spread</t>
  </si>
  <si>
    <t>A spread</t>
  </si>
  <si>
    <t>BBB spread</t>
  </si>
  <si>
    <t>BB spread</t>
  </si>
  <si>
    <t>inventory date</t>
  </si>
  <si>
    <t>B spread</t>
  </si>
  <si>
    <t>outstanding balance</t>
  </si>
  <si>
    <t>risk free rate</t>
  </si>
  <si>
    <t>manual model inputs</t>
  </si>
  <si>
    <t>Domino model outputs</t>
  </si>
  <si>
    <t>implied credit rating</t>
  </si>
  <si>
    <t>expected loss undiscounted</t>
  </si>
  <si>
    <t>expected loss discounted</t>
  </si>
  <si>
    <t>implied loss given default</t>
  </si>
  <si>
    <t>risk- weighted assets</t>
  </si>
  <si>
    <t>UDF 3 - Calculate expected loss for each loan</t>
  </si>
  <si>
    <t>UDF 2 - Calculate probability of default for each loan</t>
  </si>
  <si>
    <t>UDF 1 - Get loan inventory for current date</t>
  </si>
  <si>
    <t>UDF 0 - Get credit curves for current and historic dates</t>
  </si>
  <si>
    <t>remaining term (years)</t>
  </si>
  <si>
    <t>original loan term (years)</t>
  </si>
  <si>
    <t>employment length (years)</t>
  </si>
  <si>
    <t>loan age (months)</t>
  </si>
  <si>
    <t>probability of default at 1 year</t>
  </si>
  <si>
    <t>probability of default at 2 years</t>
  </si>
  <si>
    <t>probability of default at 30 years</t>
  </si>
  <si>
    <t>probability of default at 10 years</t>
  </si>
  <si>
    <t>probability of default at 5 years</t>
  </si>
  <si>
    <t>probability of default at maturity</t>
  </si>
  <si>
    <t>prompt</t>
  </si>
  <si>
    <t>response from =Domino.Agent.Narrate()</t>
  </si>
  <si>
    <t>Describe this data and any anomolies that stand out.</t>
  </si>
  <si>
    <t>response from =Domino.Agent.ResearchAnalyst()</t>
  </si>
  <si>
    <t>Analyze potential risks and anomolies in this data.</t>
  </si>
  <si>
    <t>Highlight hidden correlations in this data.</t>
  </si>
  <si>
    <t>response from =Domino.Agent.Analyze()</t>
  </si>
  <si>
    <t>Spreadsheet agent</t>
  </si>
  <si>
    <t>Aren't agents just LLMs with extra steps?</t>
  </si>
  <si>
    <t>Layer 1 - Diagnose</t>
  </si>
  <si>
    <t>LLM response</t>
  </si>
  <si>
    <t>You are a credit derivatives specialist who structures CDS hedges for institutional loan portfolios. Given this risk decomposition, argue that CDS is the most effective hedge. Address: how CDS mitigates the identified default risk, what reference entities or indices fit the described concentration, why event-driven protection is irreplaceable here, and cost efficiency of the premium structure. Be specific to these risks. 4-5 sentences. Return responses as text, not markdown.</t>
  </si>
  <si>
    <t>You are a rates strategist specializing in SOFR-based swap structures. Given this risk decomposition, argue that Interest Rate Swaps are the most effective hedge. Address: how a SOFR swap neutralizes the identified rate exposure, how tenor and notional map to the portfolio's duration, why the rate component is highest-priority right now, and operational simplicity versus alternatives. Be specific to these risks. 4-5 sentences. Return responses as text, not markdown.</t>
  </si>
  <si>
    <t>Interest Rate Swap Portfolio Manager</t>
  </si>
  <si>
    <t>Credit Default Swap Portfolio Manager</t>
  </si>
  <si>
    <t>You are a credit portfolio manager specializing in spread risk using credit index products, total return swaps, and credit spread options. Given this risk decomposition, argue that a credit spread hedge is the most effective approach. Address: how spread hedges protect without requiring a default event, how this captures day-to-day P&amp;L volatility, why spread widening is more likely and frequent than outright default, and what index or instrument fits the sector concentration. Be specific to these risks. 4-5 sentences. Return responses as text, not markdown.</t>
  </si>
  <si>
    <t>Credit Spread Hedge Portfolio Manager</t>
  </si>
  <si>
    <t>Layer 2 - Portfolio Manager Analysis</t>
  </si>
  <si>
    <t>CDS Rebuttal</t>
  </si>
  <si>
    <t>Credit Spread Rebuttal</t>
  </si>
  <si>
    <t>IRS Rebuttal</t>
  </si>
  <si>
    <t>You are a rates strategist specializing in SOFR-based swaps. You previously argued that IRS is the optimal hedge for this portfolio. You've now read the opposing arguments for CDS and credit spread hedges. Identify the single most critical flaw in the CDS argument for THIS portfolio, then the single most critical flaw in the spread hedge argument. For each, explain why an IRS handles it better. Don't repeat the original IRS argument. 3-4 sentences. Return responses as text, not markdown.</t>
  </si>
  <si>
    <t>You are a credit portfolio manager specializing in spread risk hedging. You previously argued that a credit spread hedge is the optimal approach for this portfolio. You've now read the opposing arguments for CDS and interest rate swaps. Identify the single most critical flaw in the CDS argument for THIS portfolio, then the single most critical flaw in the IRS argument. For each, explain why a spread hedge handles it better. Don't repeat the original spread argument. 3-4 sentences. Return responses as text, not markdown.</t>
  </si>
  <si>
    <t>Layer 3 - Portfolio Manager Debate</t>
  </si>
  <si>
    <t xml:space="preserve">You are a credit derivatives specialist. You previously argued that CDS is the optimal hedge for this portfolio. You've now read the opposing arguments for interest rate swaps and credit spread hedges. Identify the single most critical flaw in the IRS argument for THIS portfolio, then the single most critical flaw in the spread hedge argument. For each, explain why CDS handles it better. Don't repeat the original CDS argument. 3-4 sentences. Return responses as text, not markdown. </t>
  </si>
  <si>
    <t>Layer 4 - Portfolio Manager Forced Concession</t>
  </si>
  <si>
    <t>You are a credit derivatives specialist who has been advocating for CDS as the optimal hedge. The debate is over, no more advocacy. Name the ONE scenario where CDS is the wrong hedge for this portfolio, where it costs premium and delivers nothing. One sentence. Then the ONE condition where CDS is definitively the right choice over both alternatives. One sentence.</t>
  </si>
  <si>
    <t xml:space="preserve">You are a credit portfolio manager who has been advocating for credit spread hedges as the optimal approach. The debate is over, no more advocacy. Name the ONE scenario where a spread hedge is the wrong choice for this portfolio, where the basis between your hedge instrument and the actual portfolio exposure blows out and the hedge fails. One sentence. Then the ONE condition where a spread hedge is definitively the right choice over both alternatives. One sentence. </t>
  </si>
  <si>
    <t xml:space="preserve">You are a rates strategist who has been advocating for interest rate swaps as the optimal hedge. The debate is over, no more advocacy. Name the ONE scenario where an IRS is the wrong hedge for this portfolio, where it locks in a position that amplifies risk. One sentence. Then the ONE condition where an IRS is definitively the right choice over both alternatives. One sentence.
</t>
  </si>
  <si>
    <t xml:space="preserve">You are head of portfolio risk management. You didn't participate in the debate. You've read the risk decomposition and each advocate's concession. Answer three things: the one assumption all three share that may not hold, the risk from the decomposition the debate failed to address, and whether a combination of instruments would outperform any single choice — if so, what structure in one sentence. 3-4 sentences. No deference. Return responses as text, not markdown.
</t>
  </si>
  <si>
    <t>You are a senior portfolio risk analyst. No recommendations. Diagnosis only. Given the loan inventory, decompose risk into three components: default/credit event risk, interest rate risk, and market credit spread risk. For each, state the exposure in plain terms, what move causes a loss, and how concentrated it is. Be specific to these positions, not textbook definitions. 6-9 sentences, 2-3 per factor.</t>
  </si>
  <si>
    <t>Layer 6 - Chief Risk Officer Verdict</t>
  </si>
  <si>
    <t>Layer 5 - Lead Portfolio Manager Criticism</t>
  </si>
  <si>
    <t xml:space="preserve">You are the CIO making the final call. You have the risk decomposition, each instrument's self-admitted weakness and ideal condition, and the independent critique. State the hedge recommendation in one sentence. State the primary residual risk in one sentence. State the trigger event that should cause the team to revisit in one sentence. Three sentences. Decide. Return responses as text, not markdown.
</t>
  </si>
  <si>
    <t>Lead PM Criticism</t>
  </si>
  <si>
    <t>CDS Concession</t>
  </si>
  <si>
    <t xml:space="preserve"> </t>
  </si>
  <si>
    <t>a</t>
  </si>
  <si>
    <t>b</t>
  </si>
  <si>
    <t>c</t>
  </si>
  <si>
    <t>d</t>
  </si>
  <si>
    <t>f</t>
  </si>
  <si>
    <t>CRO Verdict Prompt</t>
  </si>
  <si>
    <t>CEO Verdict Response</t>
  </si>
  <si>
    <t>Describe this data and any anomolies that may stand out.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</si>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</sst>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0.0%"/>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6"/>
      <color theme="1"/>
      <name val="Aptos Narrow"/>
      <family val="2"/>
      <scheme val="minor"/>
    </font>
    <font>
      <sz val="8"/>
      <color theme="1"/>
      <name val="Cascadia Code"/>
      <family val="3"/>
    </font>
    <font>
      <sz val="14"/>
      <color theme="1"/>
      <name val="Aptos Narrow"/>
      <family val="2"/>
      <scheme val="minor"/>
    </font>
    <font>
      <b/>
      <sz val="14"/>
      <name val="Aptos Narrow"/>
      <family val="2"/>
      <scheme val="minor"/>
    </font>
    <font>
      <b/>
      <sz val="11"/>
      <color theme="1"/>
      <name val="Aptos Narrow"/>
      <family val="2"/>
      <scheme val="minor"/>
    </font>
    <font>
      <sz val="8"/>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1" tint="0.249977111117893"/>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2" borderId="0" xfId="0" applyFill="1"/>
    <xf numFmtId="0" fontId="0" fillId="2" borderId="0" xfId="0" applyFill="1" applyAlignment="1">
      <alignment horizontal="right"/>
    </xf>
    <xf numFmtId="0" fontId="3" fillId="2" borderId="0" xfId="0" applyFont="1" applyFill="1"/>
    <xf numFmtId="0" fontId="0" fillId="2" borderId="0" xfId="0" applyFill="1" applyAlignment="1">
      <alignment vertical="top"/>
    </xf>
    <xf numFmtId="0" fontId="0" fillId="2" borderId="0" xfId="0" applyFill="1" applyAlignment="1">
      <alignment horizontal="right" vertical="top"/>
    </xf>
    <xf numFmtId="0" fontId="0" fillId="2" borderId="0" xfId="0" applyFill="1" applyAlignment="1">
      <alignment horizontal="right" vertical="center"/>
    </xf>
    <xf numFmtId="0" fontId="2" fillId="4" borderId="1" xfId="0"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2" borderId="0" xfId="0" applyFont="1" applyFill="1" applyAlignment="1">
      <alignment horizontal="right" vertical="top"/>
    </xf>
    <xf numFmtId="0" fontId="4" fillId="2" borderId="0" xfId="0" applyFont="1" applyFill="1" applyAlignment="1">
      <alignment vertical="top"/>
    </xf>
    <xf numFmtId="0" fontId="0" fillId="2" borderId="0" xfId="0" applyFill="1" applyAlignment="1">
      <alignment horizontal="left" wrapText="1"/>
    </xf>
    <xf numFmtId="14" fontId="0" fillId="2" borderId="0" xfId="0" applyNumberFormat="1" applyFill="1"/>
    <xf numFmtId="164" fontId="0" fillId="2" borderId="0" xfId="1" applyNumberFormat="1" applyFont="1" applyFill="1"/>
    <xf numFmtId="10" fontId="0" fillId="2" borderId="0" xfId="2" applyNumberFormat="1" applyFont="1" applyFill="1"/>
    <xf numFmtId="165" fontId="0" fillId="2" borderId="0" xfId="2" applyNumberFormat="1" applyFont="1" applyFill="1"/>
    <xf numFmtId="2" fontId="0" fillId="2" borderId="0" xfId="0" applyNumberFormat="1" applyFill="1" applyAlignment="1">
      <alignment horizontal="right"/>
    </xf>
    <xf numFmtId="166" fontId="0" fillId="2" borderId="0" xfId="2" applyNumberFormat="1" applyFont="1" applyFill="1"/>
    <xf numFmtId="164" fontId="0" fillId="2" borderId="0" xfId="1" applyNumberFormat="1" applyFont="1" applyFill="1" applyAlignment="1">
      <alignment horizontal="right"/>
    </xf>
    <xf numFmtId="9" fontId="0" fillId="2" borderId="0" xfId="2" applyFont="1" applyFill="1" applyAlignment="1">
      <alignment horizontal="right"/>
    </xf>
    <xf numFmtId="0" fontId="0" fillId="2" borderId="0" xfId="0" applyFill="1" applyAlignment="1">
      <alignment wrapText="1"/>
    </xf>
    <xf numFmtId="0" fontId="5" fillId="2" borderId="0" xfId="0" applyFont="1" applyFill="1" applyAlignment="1">
      <alignment horizontal="right"/>
    </xf>
    <xf numFmtId="0" fontId="5" fillId="2" borderId="0" xfId="0" applyFont="1" applyFill="1"/>
    <xf numFmtId="0" fontId="5" fillId="2" borderId="0" xfId="0" applyFont="1" applyFill="1" applyAlignment="1">
      <alignment horizontal="right" vertical="top"/>
    </xf>
    <xf numFmtId="0" fontId="5" fillId="2" borderId="0" xfId="0" applyFont="1" applyFill="1" applyAlignment="1">
      <alignment vertical="top"/>
    </xf>
    <xf numFmtId="0" fontId="6" fillId="2" borderId="0" xfId="0" applyFont="1" applyFill="1" applyAlignment="1">
      <alignment horizontal="left"/>
    </xf>
    <xf numFmtId="0" fontId="2" fillId="4" borderId="1" xfId="0" applyFont="1" applyFill="1" applyBorder="1" applyAlignment="1">
      <alignment horizontal="left" vertical="center" wrapText="1"/>
    </xf>
    <xf numFmtId="0" fontId="0" fillId="0" borderId="0" xfId="0" applyAlignment="1">
      <alignment wrapText="1"/>
    </xf>
    <xf numFmtId="0" fontId="2" fillId="3" borderId="1" xfId="0" applyFont="1" applyFill="1" applyBorder="1" applyAlignment="1">
      <alignment horizontal="left" vertical="center" wrapText="1"/>
    </xf>
    <xf numFmtId="0" fontId="8" fillId="2" borderId="0" xfId="0" applyFont="1" applyFill="1" applyAlignment="1">
      <alignment horizontal="left" vertical="top" wrapText="1"/>
    </xf>
    <xf numFmtId="0" fontId="0" fillId="2" borderId="0" xfId="0" applyFill="1" applyAlignment="1">
      <alignment vertical="top" wrapText="1"/>
    </xf>
    <xf numFmtId="0" fontId="8" fillId="2" borderId="0" xfId="0" applyFont="1" applyFill="1" applyAlignment="1">
      <alignment vertical="top" wrapText="1"/>
    </xf>
    <xf numFmtId="0" fontId="3" fillId="2" borderId="0" xfId="0" applyFont="1" applyFill="1" applyAlignment="1">
      <alignment horizontal="left" vertical="top" wrapText="1"/>
    </xf>
    <xf numFmtId="14" fontId="0" fillId="0" borderId="0" xfId="0" applyNumberFormat="1"/>
    <xf numFmtId="10" fontId="0" fillId="0" borderId="0" xfId="0" applyNumberFormat="1"/>
    <xf numFmtId="2" fontId="0" fillId="0" borderId="0" xfId="0" applyNumberFormat="1"/>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7" fillId="2" borderId="0" xfId="0" applyFont="1" applyFill="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1D2B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rtdsrv_9b737a45193147159796932cc246823d">
      <tp>
        <v>2</v>
        <stp/>
        <stp>7220e9a0-48d2-4a39-8b78-48c62988537a</stp>
        <tr r="AP17" s="5"/>
      </tp>
      <tp>
        <v>2</v>
        <stp/>
        <stp>a19ffa67-d58c-4fb6-ba36-d3f0b1f47031</stp>
        <tr r="AL45" s="5"/>
      </tp>
      <tp>
        <v>2</v>
        <stp/>
        <stp>81c80d72-f1f3-496c-b779-0bf73255e41d</stp>
        <tr r="AL34" s="5"/>
      </tp>
      <tp>
        <v>2</v>
        <stp/>
        <stp>fed6dcb8-013c-42f7-ab7b-060e87d9444a</stp>
        <tr r="AO40" s="5"/>
      </tp>
      <tp>
        <v>2</v>
        <stp/>
        <stp>b0dcfece-9fdc-472d-997c-aaa648404eb4</stp>
        <tr r="AP25" s="5"/>
      </tp>
      <tp>
        <v>2</v>
        <stp/>
        <stp>fee0a2e6-75ad-44c1-93d6-ac3841ba8dfd</stp>
        <tr r="AP20" s="5"/>
      </tp>
    </main>
    <main first="rtdsrv_9b737a45193147159796932cc246823d">
      <tp>
        <v>2</v>
        <stp/>
        <stp>85130169-2720-44c7-86c1-03ceae71c7c3</stp>
        <tr r="AS27" s="5"/>
      </tp>
    </main>
    <main first="rtdsrv_9b737a45193147159796932cc246823d">
      <tp>
        <v>2</v>
        <stp/>
        <stp>4e5d3879-9e49-4edb-92bc-b4454b60a174</stp>
        <tr r="AP41" s="5"/>
      </tp>
      <tp>
        <v>2</v>
        <stp/>
        <stp>4a22e3c2-852b-4f55-a993-3d0060c18177</stp>
        <tr r="AM31" s="5"/>
      </tp>
      <tp>
        <v>2</v>
        <stp/>
        <stp>eaaaa27f-012d-409c-bf1a-6492411837ca</stp>
        <tr r="AN20" s="5"/>
      </tp>
      <tp>
        <v>2</v>
        <stp/>
        <stp>596f7c81-2fed-45a5-8d2d-7961f07c9eb6</stp>
        <tr r="AP22" s="5"/>
      </tp>
    </main>
    <main first="rtdsrv_9b737a45193147159796932cc246823d">
      <tp>
        <v>2</v>
        <stp/>
        <stp>d5c0c694-a15e-4adb-b4bb-e427b75e8be3</stp>
        <tr r="AO42" s="5"/>
      </tp>
    </main>
    <main first="rtdsrv_9b737a45193147159796932cc246823d">
      <tp>
        <v>2</v>
        <stp/>
        <stp>a760edf2-1c7f-4261-a6ee-c460a7b1c6c4</stp>
        <tr r="AL50" s="5"/>
      </tp>
    </main>
    <main first="rtdsrv_9b737a45193147159796932cc246823d">
      <tp>
        <v>2</v>
        <stp/>
        <stp>942aeb60-e8e6-4fce-9b29-a03dcc84053a</stp>
        <tr r="AN53" s="5"/>
      </tp>
      <tp>
        <v>2</v>
        <stp/>
        <stp>83971244-b55d-47b0-866f-d7638cade357</stp>
        <tr r="AQ46" s="5"/>
      </tp>
    </main>
    <main first="rtdsrv_9b737a45193147159796932cc246823d">
      <tp>
        <v>2</v>
        <stp/>
        <stp>640f899b-5880-4761-81a2-adcee97797a4</stp>
        <tr r="AM48" s="5"/>
      </tp>
      <tp>
        <v>2</v>
        <stp/>
        <stp>9226b924-7e06-46ad-ac81-ba2552fc2135</stp>
        <tr r="AP32" s="5"/>
      </tp>
      <tp>
        <v>2</v>
        <stp/>
        <stp>4f89b2cb-5522-42d3-9004-9f90d79fa179</stp>
        <tr r="AQ51" s="5"/>
      </tp>
      <tp>
        <v>2</v>
        <stp/>
        <stp>fc39119b-c035-4c6a-a5fd-7fea174b3eb4</stp>
        <tr r="AQ30" s="5"/>
      </tp>
    </main>
    <main first="rtdsrv_9b737a45193147159796932cc246823d">
      <tp>
        <v>2</v>
        <stp/>
        <stp>78b24840-e010-4426-b4c5-76099e97da38</stp>
        <tr r="AO37" s="5"/>
      </tp>
    </main>
    <main first="rtdsrv_9b737a45193147159796932cc246823d">
      <tp>
        <v>2</v>
        <stp/>
        <stp>0c3e22fa-4982-4931-af24-fd18362d9610</stp>
        <tr r="AM23" s="5"/>
      </tp>
    </main>
    <main first="rtdsrv_9b737a45193147159796932cc246823d">
      <tp>
        <v>2</v>
        <stp/>
        <stp>726a0e4f-6413-4d6b-91f8-3d9b251af6e7</stp>
        <tr r="AO22" s="5"/>
      </tp>
    </main>
    <main first="rtdsrv_9b737a45193147159796932cc246823d">
      <tp>
        <v>2</v>
        <stp/>
        <stp>2aea2f94-7921-43e6-9ff2-2cf3ac136bb8</stp>
        <tr r="AN37" s="5"/>
      </tp>
    </main>
    <main first="rtdsrv_9b737a45193147159796932cc246823d">
      <tp>
        <v>2</v>
        <stp/>
        <stp>3e996eea-5dbc-4170-a9cc-4ae88c1bde6b</stp>
        <tr r="AO20" s="5"/>
      </tp>
      <tp>
        <v>2</v>
        <stp/>
        <stp>11b2134a-c43d-45c2-82b8-6270156757c0</stp>
        <tr r="AM39" s="5"/>
      </tp>
      <tp>
        <v>2</v>
        <stp/>
        <stp>fbfc1057-11be-4392-8db7-9c074e83d4eb</stp>
        <tr r="AO41" s="5"/>
      </tp>
      <tp>
        <v>2</v>
        <stp/>
        <stp>68f6ce00-94aa-4d17-a8d5-ee2ff549efd3</stp>
        <tr r="AM47" s="5"/>
      </tp>
    </main>
    <main first="rtdsrv_9b737a45193147159796932cc246823d">
      <tp>
        <v>2</v>
        <stp/>
        <stp>5f6350ec-b5bb-48a5-aff2-46e86443bd1e</stp>
        <tr r="AN43" s="5"/>
      </tp>
    </main>
    <main first="rtdsrv_9b737a45193147159796932cc246823d">
      <tp>
        <v>2</v>
        <stp/>
        <stp>3bc95fff-16a5-44e5-84a3-89369a05c809</stp>
        <tr r="AS40" s="5"/>
      </tp>
    </main>
    <main first="rtdsrv_9b737a45193147159796932cc246823d">
      <tp>
        <v>2</v>
        <stp/>
        <stp>ac0e507a-2f8e-4a1e-a3c5-edcd8f87edc8</stp>
        <tr r="C20" s="6"/>
      </tp>
    </main>
    <main first="rtdsrv_9b737a45193147159796932cc246823d">
      <tp>
        <v>2</v>
        <stp/>
        <stp>cec4140a-557c-44b1-90d7-e985a910a02c</stp>
        <tr r="AM30" s="5"/>
      </tp>
    </main>
    <main first="rtdsrv_9b737a45193147159796932cc246823d">
      <tp>
        <v>2</v>
        <stp/>
        <stp>8444d2a9-91d5-43a4-bc84-bfb04112aeef</stp>
        <tr r="AP43" s="5"/>
      </tp>
    </main>
    <main first="rtdsrv_9b737a45193147159796932cc246823d">
      <tp>
        <v>2</v>
        <stp/>
        <stp>25753534-33a6-428b-a83a-4110fc0ec15d</stp>
        <tr r="E20" s="6"/>
      </tp>
    </main>
    <main first="rtdsrv_9b737a45193147159796932cc246823d">
      <tp>
        <v>2</v>
        <stp/>
        <stp>2248dcb1-67c3-44f1-871c-feba5059e37b</stp>
        <tr r="AO46" s="5"/>
      </tp>
      <tp>
        <v>2</v>
        <stp/>
        <stp>d931f781-7f2a-4048-be0c-aa9fae31559d</stp>
        <tr r="AP37" s="5"/>
      </tp>
      <tp>
        <v>2</v>
        <stp/>
        <stp>56ddffcf-59e0-4bff-8f5f-0778d765c6a6</stp>
        <tr r="AO16" s="5"/>
      </tp>
    </main>
    <main first="rtdsrv_9b737a45193147159796932cc246823d">
      <tp>
        <v>2</v>
        <stp/>
        <stp>4bef3e4b-f3f9-4dc9-8e32-8023799a7ba6</stp>
        <tr r="AO19" s="5"/>
      </tp>
      <tp>
        <v>2</v>
        <stp/>
        <stp>d361a600-55e9-40c2-8c77-46bad7d17476</stp>
        <tr r="AM44" s="5"/>
      </tp>
      <tp>
        <v>2</v>
        <stp/>
        <stp>b2f5b0fb-457b-402b-a403-221c1d036227</stp>
        <tr r="AM40" s="5"/>
      </tp>
      <tp>
        <v>2</v>
        <stp/>
        <stp>c37828aa-10dc-47dd-ad2b-889adc17e783</stp>
        <tr r="AM28" s="5"/>
      </tp>
      <tp>
        <v>2</v>
        <stp/>
        <stp>c8bfebc0-2b60-4d81-804c-f44c9aaf98b6</stp>
        <tr r="AM38" s="5"/>
      </tp>
    </main>
    <main first="rtdsrv_9b737a45193147159796932cc246823d">
      <tp>
        <v>2</v>
        <stp/>
        <stp>bdc6a48b-09a6-4510-8282-49a18bfad3ff</stp>
        <tr r="AO45" s="5"/>
      </tp>
    </main>
    <main first="rtdsrv_9b737a45193147159796932cc246823d">
      <tp>
        <v>2</v>
        <stp/>
        <stp>cc0550f4-f7a0-4b70-8bdc-f65ab51d6b54</stp>
        <tr r="AP28" s="5"/>
      </tp>
      <tp>
        <v>2</v>
        <stp/>
        <stp>c34bec71-276d-467e-8956-2fb0fee5f163</stp>
        <tr r="AS45" s="5"/>
      </tp>
      <tp>
        <v>2</v>
        <stp/>
        <stp>cc3434e3-bc1b-4290-a42d-8cc682f31ffc</stp>
        <tr r="AS17" s="5"/>
      </tp>
      <tp>
        <v>2</v>
        <stp/>
        <stp>b7341b62-a042-4b0f-9e95-e88c270e0ddf</stp>
        <tr r="AQ26" s="5"/>
      </tp>
      <tp>
        <v>2</v>
        <stp/>
        <stp>65a96935-083b-4498-904a-b4eb87aec3a5</stp>
        <tr r="AL28" s="5"/>
      </tp>
      <tp>
        <v>2</v>
        <stp/>
        <stp>35addac9-3a34-4ac7-8b29-c565c2afdeca</stp>
        <tr r="AP16" s="5"/>
      </tp>
    </main>
    <main first="rtdsrv_9b737a45193147159796932cc246823d">
      <tp>
        <v>2</v>
        <stp/>
        <stp>ef84a71d-bcbc-4794-99f2-4df9964b13a1</stp>
        <tr r="C28" s="6"/>
      </tp>
      <tp>
        <v>2</v>
        <stp/>
        <stp>b75bc668-6c9f-4c65-b813-90f861d0026e</stp>
        <tr r="AN46" s="5"/>
      </tp>
    </main>
    <main first="rtdsrv_9b737a45193147159796932cc246823d">
      <tp>
        <v>2</v>
        <stp/>
        <stp>aa72bf44-ffdf-4925-8325-6a10130ae43d</stp>
        <tr r="AN21" s="5"/>
      </tp>
      <tp>
        <v>2</v>
        <stp/>
        <stp>5e16fdc9-db58-46c1-bcb3-498ba1f769a3</stp>
        <tr r="AM36" s="5"/>
      </tp>
    </main>
    <main first="rtdsrv_9b737a45193147159796932cc246823d">
      <tp>
        <v>2</v>
        <stp/>
        <stp>f2933b1d-d8ef-474a-adfd-1290068a60ae</stp>
        <tr r="AM41" s="5"/>
      </tp>
    </main>
    <main first="rtdsrv_9b737a45193147159796932cc246823d">
      <tp>
        <v>2</v>
        <stp/>
        <stp>eb170219-bdb9-453e-a412-3fe37a6a9f30</stp>
        <tr r="AM35" s="5"/>
      </tp>
    </main>
    <main first="rtdsrv_9b737a45193147159796932cc246823d">
      <tp>
        <v>2</v>
        <stp/>
        <stp>33536687-b2bd-4151-b3dc-fccb44fc4b5f</stp>
        <tr r="AN49" s="5"/>
      </tp>
      <tp>
        <v>2</v>
        <stp/>
        <stp>f6cdd465-e73e-4178-903e-fd5a38b0a791</stp>
        <tr r="AN48" s="5"/>
      </tp>
      <tp>
        <v>2</v>
        <stp/>
        <stp>fb3a7050-a082-4675-8016-e323662b05ee</stp>
        <tr r="AS14" s="5"/>
      </tp>
    </main>
    <main first="rtdsrv_9b737a45193147159796932cc246823d">
      <tp>
        <v>2</v>
        <stp/>
        <stp>65f5708d-9dd0-4a93-a896-3edad1bffd7c</stp>
        <tr r="L28" s="5"/>
      </tp>
      <tp>
        <v>2</v>
        <stp/>
        <stp>5d5787a7-383a-4db0-82c4-fa752a21a5d8</stp>
        <tr r="AO52" s="5"/>
      </tp>
    </main>
    <main first="rtdsrv_9b737a45193147159796932cc246823d">
      <tp>
        <v>2</v>
        <stp/>
        <stp>220a06e1-b0a3-4274-b3cf-fecee61f4deb</stp>
        <tr r="AQ24" s="5"/>
      </tp>
    </main>
    <main first="rtdsrv_9b737a45193147159796932cc246823d">
      <tp>
        <v>2</v>
        <stp/>
        <stp>000813d6-f983-456c-bfa8-0d938f70bc48</stp>
        <tr r="AN32" s="5"/>
      </tp>
      <tp>
        <v>2</v>
        <stp/>
        <stp>a73d3482-7d6c-4b49-bc4a-b62691dd9812</stp>
        <tr r="AQ37" s="5"/>
      </tp>
      <tp>
        <v>2</v>
        <stp/>
        <stp>4709ca32-ef61-43bc-9996-28ca34a66c52</stp>
        <tr r="AP18" s="5"/>
      </tp>
    </main>
    <main first="rtdsrv_9b737a45193147159796932cc246823d">
      <tp>
        <v>2</v>
        <stp/>
        <stp>830fffe8-572e-4a60-ba63-1c4ad7ccf4aa</stp>
        <tr r="AL46" s="5"/>
      </tp>
      <tp>
        <v>2</v>
        <stp/>
        <stp>f5fd7b29-04cf-49c8-bf8b-eb78feef1f0b</stp>
        <tr r="AE7" s="5"/>
      </tp>
    </main>
    <main first="rtdsrv_9b737a45193147159796932cc246823d">
      <tp>
        <v>2</v>
        <stp/>
        <stp>66ca20e9-7e2d-4170-a62f-4b03eb82b63c</stp>
        <tr r="AO44" s="5"/>
      </tp>
    </main>
    <main first="rtdsrv_9b737a45193147159796932cc246823d">
      <tp>
        <v>2</v>
        <stp/>
        <stp>ed4b8921-b2ef-433c-93ce-e24b215fb9e2</stp>
        <tr r="AL26" s="5"/>
      </tp>
    </main>
    <main first="rtdsrv_9b737a45193147159796932cc246823d">
      <tp>
        <v>2</v>
        <stp/>
        <stp>3f6a34eb-8c0b-4e95-b989-6b31f053808b</stp>
        <tr r="AM32" s="5"/>
      </tp>
      <tp>
        <v>2</v>
        <stp/>
        <stp>eac6b3b3-7242-42a5-b851-c68cd449ab9e</stp>
        <tr r="AO47" s="5"/>
      </tp>
      <tp>
        <v>2</v>
        <stp/>
        <stp>dc71e59a-0971-426d-843d-82a8a76a115a</stp>
        <tr r="AO23" s="5"/>
      </tp>
      <tp>
        <v>2</v>
        <stp/>
        <stp>b120a4cf-dfb1-4384-9b13-6fe480db6747</stp>
        <tr r="AN25" s="5"/>
      </tp>
    </main>
    <main first="rtdsrv_9b737a45193147159796932cc246823d">
      <tp>
        <v>2</v>
        <stp/>
        <stp>e1925f78-1450-4a94-b42c-57a3ad86f62e</stp>
        <tr r="AO38" s="5"/>
      </tp>
    </main>
    <main first="rtdsrv_9b737a45193147159796932cc246823d">
      <tp>
        <v>2</v>
        <stp/>
        <stp>a0f98f13-a6e4-48d2-9f7d-7624b1a7c092</stp>
        <tr r="AO49" s="5"/>
      </tp>
    </main>
    <main first="rtdsrv_9b737a45193147159796932cc246823d">
      <tp>
        <v>2</v>
        <stp/>
        <stp>01aee38d-0624-439d-93d8-340040dcb3f2</stp>
        <tr r="AP42" s="5"/>
      </tp>
      <tp>
        <v>2</v>
        <stp/>
        <stp>903de788-451c-46e3-b1c9-2a6c533af4f9</stp>
        <tr r="AN38" s="5"/>
      </tp>
      <tp>
        <v>2</v>
        <stp/>
        <stp>cd778b4a-1435-4891-a0fe-30b2fac7c445</stp>
        <tr r="AQ16" s="5"/>
      </tp>
    </main>
    <main first="rtdsrv_9b737a45193147159796932cc246823d">
      <tp>
        <v>2</v>
        <stp/>
        <stp>c7edee6c-a2da-4e4b-baba-27a8ab28dc1b</stp>
        <tr r="AQ43" s="5"/>
      </tp>
      <tp>
        <v>2</v>
        <stp/>
        <stp>e252b971-eaea-47b2-967c-5b81a563883f</stp>
        <tr r="AM52" s="5"/>
      </tp>
    </main>
    <main first="rtdsrv_9b737a45193147159796932cc246823d">
      <tp>
        <v>2</v>
        <stp/>
        <stp>ffbc76ab-6e83-42e5-9eba-370d84e7b6fc</stp>
        <tr r="AP38" s="5"/>
      </tp>
    </main>
    <main first="rtdsrv_9b737a45193147159796932cc246823d">
      <tp>
        <v>2</v>
        <stp/>
        <stp>b8455940-ce9f-4c42-bf34-3e4f67200580</stp>
        <tr r="AQ14" s="5"/>
      </tp>
    </main>
    <main first="rtdsrv_9b737a45193147159796932cc246823d">
      <tp>
        <v>2</v>
        <stp/>
        <stp>2712e9e5-2486-4438-976b-671f43b3f288</stp>
        <tr r="AS20" s="5"/>
      </tp>
    </main>
    <main first="rtdsrv_9b737a45193147159796932cc246823d">
      <tp>
        <v>2</v>
        <stp/>
        <stp>866a2a0c-4e3e-4577-acf6-0bf28f3362ff</stp>
        <tr r="AL51" s="5"/>
      </tp>
      <tp>
        <v>2</v>
        <stp/>
        <stp>60e538de-00f0-47fa-948c-57fd106f1bda</stp>
        <tr r="AQ36" s="5"/>
      </tp>
      <tp>
        <v>2</v>
        <stp/>
        <stp>7c3a03c9-cea1-49d9-9b1a-13d11f5bae8b</stp>
        <tr r="AO39" s="5"/>
      </tp>
    </main>
    <main first="rtdsrv_9b737a45193147159796932cc246823d">
      <tp>
        <v>2</v>
        <stp/>
        <stp>17d0bcc6-a2b6-4828-8f50-b46655130288</stp>
        <tr r="AN28" s="5"/>
      </tp>
    </main>
    <main first="rtdsrv_9b737a45193147159796932cc246823d">
      <tp>
        <v>2</v>
        <stp/>
        <stp>1500209c-9911-4215-aa4c-c67d7b51aba9</stp>
        <tr r="AN16" s="5"/>
      </tp>
    </main>
    <main first="rtdsrv_9b737a45193147159796932cc246823d">
      <tp>
        <v>2</v>
        <stp/>
        <stp>9573989e-0373-433e-a2fb-efb500a2bc15</stp>
        <tr r="AM53" s="5"/>
      </tp>
      <tp>
        <v>2</v>
        <stp/>
        <stp>ad3fc35e-5eb7-4f49-90ec-b48ba31ca2e1</stp>
        <tr r="AS16" s="5"/>
      </tp>
    </main>
    <main first="rtdsrv_9b737a45193147159796932cc246823d">
      <tp>
        <v>2</v>
        <stp/>
        <stp>781df12a-e313-4e24-80b6-8817e08ee9dc</stp>
        <tr r="AS46" s="5"/>
      </tp>
    </main>
    <main first="rtdsrv_9b737a45193147159796932cc246823d">
      <tp>
        <v>2</v>
        <stp/>
        <stp>ef3dae6d-c232-4eed-a305-e86777f75016</stp>
        <tr r="AP33" s="5"/>
      </tp>
      <tp>
        <v>2</v>
        <stp/>
        <stp>ecb22bba-3da3-41b9-b72a-e209da414ac1</stp>
        <tr r="AP26" s="5"/>
      </tp>
      <tp>
        <v>2</v>
        <stp/>
        <stp>877945e3-649f-479d-b48d-c33e15c8fe0a</stp>
        <tr r="AM7" s="5"/>
      </tp>
    </main>
    <main first="rtdsrv_9b737a45193147159796932cc246823d">
      <tp>
        <v>2</v>
        <stp/>
        <stp>fdbdda9a-08a7-4780-81df-729a6a4c0845</stp>
        <tr r="AQ35" s="5"/>
      </tp>
    </main>
    <main first="rtdsrv_9b737a45193147159796932cc246823d">
      <tp>
        <v>2</v>
        <stp/>
        <stp>5cd730ea-7de0-4524-a1f9-2cac3fe3a9f1</stp>
        <tr r="AQ53" s="5"/>
      </tp>
      <tp>
        <v>2</v>
        <stp/>
        <stp>bc330544-e116-4be6-914f-662554e2b998</stp>
        <tr r="AS24" s="5"/>
      </tp>
    </main>
    <main first="rtdsrv_9b737a45193147159796932cc246823d">
      <tp>
        <v>2</v>
        <stp/>
        <stp>29f5d79a-53f3-4172-8ae7-931b7ee07046</stp>
        <tr r="AP49" s="5"/>
      </tp>
    </main>
    <main first="rtdsrv_9b737a45193147159796932cc246823d">
      <tp>
        <v>2</v>
        <stp/>
        <stp>660f0c32-86e6-41b0-8054-8bdc732c23c0</stp>
        <tr r="AS38" s="5"/>
      </tp>
    </main>
    <main first="rtdsrv_9b737a45193147159796932cc246823d">
      <tp>
        <v>2</v>
        <stp/>
        <stp>086e697f-80b1-4f8d-80cc-57b715539653</stp>
        <tr r="AO15" s="5"/>
      </tp>
    </main>
    <main first="rtdsrv_9b737a45193147159796932cc246823d">
      <tp>
        <v>2</v>
        <stp/>
        <stp>b11bcafa-1c92-4917-b554-d79cf8a09f6a</stp>
        <tr r="AS44" s="5"/>
      </tp>
    </main>
    <main first="rtdsrv_9b737a45193147159796932cc246823d">
      <tp>
        <v>2</v>
        <stp/>
        <stp>1b970eb6-62a5-45e1-87d1-e2a0c8acbd29</stp>
        <tr r="AQ50" s="5"/>
      </tp>
    </main>
    <main first="rtdsrv_9b737a45193147159796932cc246823d">
      <tp>
        <v>2</v>
        <stp/>
        <stp>c43d381b-d8b6-4f9b-975d-56e97c823c81</stp>
        <tr r="AP36" s="5"/>
      </tp>
      <tp>
        <v>2</v>
        <stp/>
        <stp>ece65c3c-c583-4666-9da2-259e88bda012</stp>
        <tr r="AN33" s="5"/>
      </tp>
    </main>
    <main first="rtdsrv_9b737a45193147159796932cc246823d">
      <tp>
        <v>2</v>
        <stp/>
        <stp>2f3af92e-cf6b-437e-b61b-80ec9fc6b779</stp>
        <tr r="AP21" s="5"/>
      </tp>
      <tp>
        <v>2</v>
        <stp/>
        <stp>5cce0624-db46-4845-8f90-077977034409</stp>
        <tr r="AN14" s="5"/>
      </tp>
    </main>
    <main first="rtdsrv_9b737a45193147159796932cc246823d">
      <tp>
        <v>2</v>
        <stp/>
        <stp>f3c2d9f0-d2f8-42de-b97e-be62a5e37e63</stp>
        <tr r="E16" s="6"/>
      </tp>
      <tp>
        <v>2</v>
        <stp/>
        <stp>f5898f4b-3939-4b1c-8afb-e84bd0b48d7b</stp>
        <tr r="AM43" s="5"/>
      </tp>
    </main>
    <main first="rtdsrv_9b737a45193147159796932cc246823d">
      <tp>
        <v>2</v>
        <stp/>
        <stp>d4d64c7b-c0ac-4a99-9d1d-2aaed566eab7</stp>
        <tr r="AM14" s="5"/>
      </tp>
    </main>
    <main first="rtdsrv_9b737a45193147159796932cc246823d">
      <tp>
        <v>2</v>
        <stp/>
        <stp>f16e6237-91ba-40b4-9a23-55311bb59b32</stp>
        <tr r="C16" s="6"/>
      </tp>
    </main>
    <main first="rtdsrv_9b737a45193147159796932cc246823d">
      <tp>
        <v>2</v>
        <stp/>
        <stp>f3d3002d-ce5b-4cdd-8e7e-cdcacffd4817</stp>
        <tr r="AO35" s="5"/>
      </tp>
      <tp>
        <v>2</v>
        <stp/>
        <stp>30de59e9-6bf7-4459-861d-598d05fd33e8</stp>
        <tr r="AS36" s="5"/>
      </tp>
    </main>
    <main first="rtdsrv_9b737a45193147159796932cc246823d">
      <tp>
        <v>2</v>
        <stp/>
        <stp>d08ba6a0-3491-4cf2-8a9c-1d7db6a08dff</stp>
        <tr r="AM50" s="5"/>
      </tp>
    </main>
    <main first="rtdsrv_9b737a45193147159796932cc246823d">
      <tp>
        <v>2</v>
        <stp/>
        <stp>018d0f89-10b8-4125-8039-48f29fa9760e</stp>
        <tr r="AN29" s="5"/>
      </tp>
    </main>
    <main first="rtdsrv_9b737a45193147159796932cc246823d">
      <tp>
        <v>2</v>
        <stp/>
        <stp>84e8e189-14a5-4e76-b05e-e2d3449d39a1</stp>
        <tr r="AO7" s="5"/>
      </tp>
    </main>
    <main first="rtdsrv_9b737a45193147159796932cc246823d">
      <tp>
        <v>2</v>
        <stp/>
        <stp>1550c912-d206-4d16-bba7-8857b629c958</stp>
        <tr r="AQ29" s="5"/>
      </tp>
      <tp>
        <v>2</v>
        <stp/>
        <stp>499b7bbd-9341-4f77-87c0-e4ca222ff8d7</stp>
        <tr r="AL52" s="5"/>
      </tp>
    </main>
    <main first="rtdsrv_9b737a45193147159796932cc246823d">
      <tp>
        <v>2</v>
        <stp/>
        <stp>1f30366c-73ac-49ac-9d80-233624eac362</stp>
        <tr r="AS25" s="5"/>
      </tp>
    </main>
    <main first="rtdsrv_9b737a45193147159796932cc246823d">
      <tp>
        <v>2</v>
        <stp/>
        <stp>916bab36-dba2-4242-992c-dd482e420984</stp>
        <tr r="AN42" s="5"/>
      </tp>
    </main>
    <main first="rtdsrv_9b737a45193147159796932cc246823d">
      <tp>
        <v>2</v>
        <stp/>
        <stp>c497a59d-6fe5-480f-84d7-32c4f9c161d0</stp>
        <tr r="AO48" s="5"/>
      </tp>
      <tp>
        <v>2</v>
        <stp/>
        <stp>5f453abc-60d6-4314-ade6-f5c34b457822</stp>
        <tr r="AN41" s="5"/>
      </tp>
    </main>
    <main first="rtdsrv_9b737a45193147159796932cc246823d">
      <tp>
        <v>2</v>
        <stp/>
        <stp>7625961d-3404-4a6b-bd85-e60ba6f01f00</stp>
        <tr r="AL53" s="5"/>
      </tp>
      <tp>
        <v>2</v>
        <stp/>
        <stp>77603192-e9ab-4a9a-a599-7467e4a4b49c</stp>
        <tr r="AP31" s="5"/>
      </tp>
      <tp>
        <v>2</v>
        <stp/>
        <stp>df2aef2f-773e-4f19-a61f-44339072245b</stp>
        <tr r="AS50" s="5"/>
      </tp>
      <tp>
        <v>2</v>
        <stp/>
        <stp>5fda03b5-0f30-4221-89b1-4be469541bca</stp>
        <tr r="AM17" s="5"/>
      </tp>
      <tp>
        <v>2</v>
        <stp/>
        <stp>ab4edf70-e8f2-47a9-9a1c-c3a85f7c223e</stp>
        <tr r="AQ20" s="5"/>
      </tp>
    </main>
    <main first="rtdsrv_9b737a45193147159796932cc246823d">
      <tp>
        <v>2</v>
        <stp/>
        <stp>d226fcdd-5878-4bed-9988-d4f942647091</stp>
        <tr r="AN35" s="5"/>
      </tp>
      <tp>
        <v>2</v>
        <stp/>
        <stp>34f5a158-b0e1-485b-b4b7-ba2ab8a42085</stp>
        <tr r="AO26" s="5"/>
      </tp>
    </main>
    <main first="rtdsrv_9b737a45193147159796932cc246823d">
      <tp>
        <v>2</v>
        <stp/>
        <stp>39706eed-d30c-482c-bac9-d5f8f0005359</stp>
        <tr r="AO31" s="5"/>
      </tp>
    </main>
    <main first="rtdsrv_9b737a45193147159796932cc246823d">
      <tp>
        <v>2</v>
        <stp/>
        <stp>33b0199c-c82c-41a1-bead-a2a1a23707bc</stp>
        <tr r="AN27" s="5"/>
      </tp>
      <tp>
        <v>2</v>
        <stp/>
        <stp>33f4a0dc-1d3b-4ff0-85db-ebc40861d2fc</stp>
        <tr r="X7" s="5"/>
      </tp>
      <tp>
        <v>2</v>
        <stp/>
        <stp>0e30f9f1-aa83-4bed-a0a3-fd5d9f1fb430</stp>
        <tr r="AQ48" s="5"/>
      </tp>
    </main>
    <main first="rtdsrv_9b737a45193147159796932cc246823d">
      <tp>
        <v>2</v>
        <stp/>
        <stp>86d6bdff-088a-4c8a-908e-4fdd9a13c285</stp>
        <tr r="AP19" s="5"/>
      </tp>
    </main>
    <main first="rtdsrv_9b737a45193147159796932cc246823d">
      <tp>
        <v>2</v>
        <stp/>
        <stp>9ef86e42-eaef-4d18-bbd9-43666ff74b72</stp>
        <tr r="AP53" s="5"/>
      </tp>
    </main>
    <main first="rtdsrv_9b737a45193147159796932cc246823d">
      <tp>
        <v>2</v>
        <stp/>
        <stp>0170e663-6f3d-447e-b290-e630ba689498</stp>
        <tr r="AL24" s="5"/>
      </tp>
    </main>
    <main first="rtdsrv_9b737a45193147159796932cc246823d">
      <tp>
        <v>2</v>
        <stp/>
        <stp>9ca4bbc9-4be3-4b80-bb52-8076b8395669</stp>
        <tr r="AN15" s="5"/>
      </tp>
    </main>
    <main first="rtdsrv_9b737a45193147159796932cc246823d">
      <tp>
        <v>2</v>
        <stp/>
        <stp>cdfd826f-b9a9-4d28-910a-b04a24dc45ef</stp>
        <tr r="AM49" s="5"/>
      </tp>
    </main>
    <main first="rtdsrv_9b737a45193147159796932cc246823d">
      <tp>
        <v>2</v>
        <stp/>
        <stp>ba33f3b1-619e-4bbc-a98d-db5a25babef8</stp>
        <tr r="AP44" s="5"/>
      </tp>
    </main>
    <main first="rtdsrv_9b737a45193147159796932cc246823d">
      <tp>
        <v>2</v>
        <stp/>
        <stp>89111b4b-6db6-4f06-a8ac-2b785a70040d</stp>
        <tr r="AS49" s="5"/>
      </tp>
      <tp>
        <v>2</v>
        <stp/>
        <stp>dfdcb086-f5de-40df-8eca-a9db814bd057</stp>
        <tr r="AS41" s="5"/>
      </tp>
    </main>
    <main first="rtdsrv_9b737a45193147159796932cc246823d">
      <tp>
        <v>2</v>
        <stp/>
        <stp>30fce850-417a-4eac-9f2a-ed90037f67ee</stp>
        <tr r="AM46" s="5"/>
      </tp>
    </main>
    <main first="rtdsrv_9b737a45193147159796932cc246823d">
      <tp>
        <v>2</v>
        <stp/>
        <stp>13a5d969-5e07-48a3-923a-4a1ce796dd33</stp>
        <tr r="AM15" s="5"/>
      </tp>
    </main>
    <main first="rtdsrv_9b737a45193147159796932cc246823d">
      <tp>
        <v>2</v>
        <stp/>
        <stp>8973a150-d38c-43df-9902-11821419a37c</stp>
        <tr r="AP15" s="5"/>
      </tp>
      <tp>
        <v>2</v>
        <stp/>
        <stp>01a22ba4-9e16-4c7e-a442-9eb85e9bd73d</stp>
        <tr r="AN39" s="5"/>
      </tp>
    </main>
    <main first="rtdsrv_9b737a45193147159796932cc246823d">
      <tp>
        <v>2</v>
        <stp/>
        <stp>6c411926-cf1c-4264-a3f4-359b5c8671f1</stp>
        <tr r="AQ45" s="5"/>
      </tp>
    </main>
    <main first="rtdsrv_9b737a45193147159796932cc246823d">
      <tp>
        <v>2</v>
        <stp/>
        <stp>a36ac981-6a67-41ed-aab5-c345d1054453</stp>
        <tr r="AS18" s="5"/>
      </tp>
    </main>
    <main first="rtdsrv_9b737a45193147159796932cc246823d">
      <tp>
        <v>2</v>
        <stp/>
        <stp>fbcc58a7-b599-45b8-84d5-e9200882b656</stp>
        <tr r="AL33" s="5"/>
      </tp>
      <tp>
        <v>2</v>
        <stp/>
        <stp>5f59b713-4356-48c7-bc1f-00910b6d6bb0</stp>
        <tr r="AN30" s="5"/>
      </tp>
      <tp>
        <v>2</v>
        <stp/>
        <stp>51947480-c4b5-485b-819e-4c2f9595b8dc</stp>
        <tr r="AQ40" s="5"/>
      </tp>
      <tp>
        <v>2</v>
        <stp/>
        <stp>a3d33699-a29a-4ae8-9fce-7924be52f021</stp>
        <tr r="AO51" s="5"/>
      </tp>
      <tp>
        <v>2</v>
        <stp/>
        <stp>7bd7a03a-1bd7-491e-8f21-269822519c7e</stp>
        <tr r="AQ39" s="5"/>
      </tp>
      <tp>
        <v>2</v>
        <stp/>
        <stp>3af462b1-e729-4524-b75f-bbd10275a43b</stp>
        <tr r="AM29" s="5"/>
      </tp>
    </main>
    <main first="rtdsrv_9b737a45193147159796932cc246823d">
      <tp>
        <v>2</v>
        <stp/>
        <stp>9baf7709-fbf7-45f5-9e48-ed5710b6e519</stp>
        <tr r="AP35" s="5"/>
      </tp>
    </main>
    <main first="rtdsrv_9b737a45193147159796932cc246823d">
      <tp>
        <v>2</v>
        <stp/>
        <stp>ee5c0799-e1f5-4a72-892a-9bd48dd9eb6d</stp>
        <tr r="AQ15" s="5"/>
      </tp>
    </main>
    <main first="rtdsrv_9b737a45193147159796932cc246823d">
      <tp>
        <v>2</v>
        <stp/>
        <stp>359e5cc9-99c2-4a33-be0e-01abb93f8700</stp>
        <tr r="AS43" s="5"/>
      </tp>
      <tp>
        <v>2</v>
        <stp/>
        <stp>e7cbaaad-95f9-4933-a399-e893a95547de</stp>
        <tr r="AO43" s="5"/>
      </tp>
    </main>
    <main first="rtdsrv_9b737a45193147159796932cc246823d">
      <tp>
        <v>2</v>
        <stp/>
        <stp>79fa8fc4-2678-4379-a2a2-4a19746433f1</stp>
        <tr r="AQ32" s="5"/>
      </tp>
    </main>
    <main first="rtdsrv_9b737a45193147159796932cc246823d">
      <tp>
        <v>2</v>
        <stp/>
        <stp>8fb7a46f-5fa6-4ec2-8fd6-e38c0304ec20</stp>
        <tr r="AL38" s="5"/>
      </tp>
      <tp>
        <v>2</v>
        <stp/>
        <stp>3b6a71da-c500-4476-9262-258801b0cf4b</stp>
        <tr r="AP30" s="5"/>
      </tp>
      <tp>
        <v>2</v>
        <stp/>
        <stp>0e286598-236d-4f7e-b2d6-b549425ff643</stp>
        <tr r="AS29" s="5"/>
      </tp>
    </main>
    <main first="rtdsrv_9b737a45193147159796932cc246823d">
      <tp>
        <v>2</v>
        <stp/>
        <stp>d332cf83-a1d8-4f3f-8ced-9f34309a93ad</stp>
        <tr r="AN50" s="5"/>
      </tp>
      <tp>
        <v>2</v>
        <stp/>
        <stp>e7681b5c-fe48-47d5-8ca5-73f403289529</stp>
        <tr r="AS15" s="5"/>
      </tp>
    </main>
    <main first="rtdsrv_9b737a45193147159796932cc246823d">
      <tp>
        <v>2</v>
        <stp/>
        <stp>87b2b4d3-1412-4055-86b7-470b1d31bd0a</stp>
        <tr r="AM27" s="5"/>
      </tp>
    </main>
    <main first="rtdsrv_9b737a45193147159796932cc246823d">
      <tp>
        <v>2</v>
        <stp/>
        <stp>d116b31a-acb9-4bc1-b654-f7eef419563c</stp>
        <tr r="AL35" s="5"/>
      </tp>
      <tp>
        <v>2</v>
        <stp/>
        <stp>15d81d16-a5ce-4d91-83bb-26dbb367a4ca</stp>
        <tr r="AL22" s="5"/>
      </tp>
      <tp>
        <v>2</v>
        <stp/>
        <stp>54d19be1-c1b5-4bdb-9d63-235a1da69de2</stp>
        <tr r="C8" s="6"/>
      </tp>
      <tp>
        <v>2</v>
        <stp/>
        <stp>b17a92c4-b711-486d-8384-f1bb2f8728a8</stp>
        <tr r="AN23" s="5"/>
      </tp>
      <tp>
        <v>2</v>
        <stp/>
        <stp>6bc7480d-e7ae-457d-8b44-de33b94d4a86</stp>
        <tr r="AL41" s="5"/>
      </tp>
    </main>
    <main first="rtdsrv_9b737a45193147159796932cc246823d">
      <tp>
        <v>2</v>
        <stp/>
        <stp>529ba108-f6d2-4e6c-890e-609cf2c4ffe6</stp>
        <tr r="AN45" s="5"/>
      </tp>
    </main>
    <main first="rtdsrv_9b737a45193147159796932cc246823d">
      <tp>
        <v>2</v>
        <stp/>
        <stp>553ba6ca-401c-4db3-9e9d-b87c5b46d5fa</stp>
        <tr r="AQ33" s="5"/>
      </tp>
      <tp>
        <v>2</v>
        <stp/>
        <stp>22c4c4d6-ebbd-4c56-b39c-04eaa31c7919</stp>
        <tr r="AM51" s="5"/>
      </tp>
    </main>
    <main first="rtdsrv_9b737a45193147159796932cc246823d">
      <tp>
        <v>2</v>
        <stp/>
        <stp>39f8988b-212c-45d3-9875-48f0d8922f80</stp>
        <tr r="AL15" s="5"/>
      </tp>
    </main>
    <main first="rtdsrv_9b737a45193147159796932cc246823d">
      <tp>
        <v>2</v>
        <stp/>
        <stp>44f8bd41-ac67-4725-bf8b-218a98c81d48</stp>
        <tr r="AO32" s="5"/>
      </tp>
    </main>
    <main first="rtdsrv_9b737a45193147159796932cc246823d">
      <tp>
        <v>2</v>
        <stp/>
        <stp>dbfe5804-af92-49d8-bc53-c0c034a0ec95</stp>
        <tr r="AN17" s="5"/>
      </tp>
    </main>
    <main first="rtdsrv_9b737a45193147159796932cc246823d">
      <tp>
        <v>2</v>
        <stp/>
        <stp>a5c8355d-435b-4b27-8fd1-fcaa10673e54</stp>
        <tr r="AN19" s="5"/>
      </tp>
    </main>
    <main first="rtdsrv_9b737a45193147159796932cc246823d">
      <tp>
        <v>2</v>
        <stp/>
        <stp>4b15a4f1-de05-433d-acf3-ea734676363f</stp>
        <tr r="AS52" s="5"/>
      </tp>
      <tp>
        <v>2</v>
        <stp/>
        <stp>c13b96da-ada2-4ebe-93b7-79fcc99c4009</stp>
        <tr r="AL32" s="5"/>
      </tp>
      <tp>
        <v>2</v>
        <stp/>
        <stp>c5956025-57f6-4dc2-89b8-9492222027e1</stp>
        <tr r="AL14" s="5"/>
      </tp>
      <tp>
        <v>2</v>
        <stp/>
        <stp>43a593ad-b4a0-4374-8c5b-32ce7fb42f29</stp>
        <tr r="AQ17" s="5"/>
      </tp>
      <tp>
        <v>2</v>
        <stp/>
        <stp>67af6015-5591-427e-9440-7d49cf54400c</stp>
        <tr r="L35" s="5"/>
      </tp>
    </main>
    <main first="rtdsrv_9b737a45193147159796932cc246823d">
      <tp>
        <v>2</v>
        <stp/>
        <stp>a2c540c4-7b64-4274-9206-7f2f11c8e693</stp>
        <tr r="AP14" s="5"/>
      </tp>
    </main>
    <main first="rtdsrv_9b737a45193147159796932cc246823d">
      <tp>
        <v>2</v>
        <stp/>
        <stp>605df328-3237-482f-912b-33ecc2dd95be</stp>
        <tr r="AM33" s="5"/>
      </tp>
      <tp>
        <v>2</v>
        <stp/>
        <stp>d7d3f45b-9f27-4e58-8e3c-2dfcba37dd62</stp>
        <tr r="AS53" s="5"/>
      </tp>
    </main>
    <main first="rtdsrv_9b737a45193147159796932cc246823d">
      <tp>
        <v>2</v>
        <stp/>
        <stp>6b9f000b-3e10-433a-a0e3-025ebab62f94</stp>
        <tr r="AQ47" s="5"/>
      </tp>
    </main>
    <main first="rtdsrv_9b737a45193147159796932cc246823d">
      <tp>
        <v>2</v>
        <stp/>
        <stp>a9506524-da5e-4ae2-a3a1-f96694b71f0f</stp>
        <tr r="AO34" s="5"/>
      </tp>
      <tp>
        <v>2</v>
        <stp/>
        <stp>82c9ec62-9599-4753-8cb3-f9fdbf301654</stp>
        <tr r="AQ28" s="5"/>
      </tp>
      <tp>
        <v>2</v>
        <stp/>
        <stp>16be5c9f-7a86-43a5-ab65-11de8ae38ac7</stp>
        <tr r="AM18" s="5"/>
      </tp>
    </main>
    <main first="rtdsrv_9b737a45193147159796932cc246823d">
      <tp>
        <v>2</v>
        <stp/>
        <stp>4525ba91-0153-41b2-9a1c-39e7e8fbc63a</stp>
        <tr r="AL48" s="5"/>
      </tp>
      <tp>
        <v>2</v>
        <stp/>
        <stp>f9409ca5-965b-4f73-8161-1e5d4d988752</stp>
        <tr r="AQ23" s="5"/>
      </tp>
      <tp>
        <v>2</v>
        <stp/>
        <stp>3a784e52-2b7f-44c8-920f-29a6d6e6faf7</stp>
        <tr r="AM26" s="5"/>
      </tp>
      <tp>
        <v>2</v>
        <stp/>
        <stp>24b34af5-4fca-4a52-aec4-72e9efd54413</stp>
        <tr r="G20" s="6"/>
      </tp>
    </main>
    <main first="rtdsrv_9b737a45193147159796932cc246823d">
      <tp>
        <v>2</v>
        <stp/>
        <stp>8fc73c9f-3620-480c-8721-a538b4cc5173</stp>
        <tr r="AQ34" s="5"/>
      </tp>
      <tp>
        <v>2</v>
        <stp/>
        <stp>34a08f3d-3476-4acf-9fd9-071c4674f5c2</stp>
        <tr r="AN34" s="5"/>
      </tp>
      <tp>
        <v>2</v>
        <stp/>
        <stp>f63ffb76-7d6b-44bb-9488-6a7039c0a690</stp>
        <tr r="AL17" s="5"/>
      </tp>
    </main>
    <main first="rtdsrv_9b737a45193147159796932cc246823d">
      <tp>
        <v>2</v>
        <stp/>
        <stp>d385750d-a0d5-406d-91a9-4beefc26b42e</stp>
        <tr r="AO17" s="5"/>
      </tp>
    </main>
    <main first="rtdsrv_9b737a45193147159796932cc246823d">
      <tp>
        <v>2</v>
        <stp/>
        <stp>9c662f8c-f8fc-41b2-a69d-a2ce58fd657d</stp>
        <tr r="AN36" s="5"/>
      </tp>
      <tp>
        <v>2</v>
        <stp/>
        <stp>5d7237f4-22f1-44dc-88fc-22c6f7243626</stp>
        <tr r="AS33" s="5"/>
      </tp>
      <tp>
        <v>2</v>
        <stp/>
        <stp>5dc42ab7-6ee6-4798-b9e4-7e98d8f93e2c</stp>
        <tr r="AM24" s="5"/>
      </tp>
    </main>
    <main first="rtdsrv_9b737a45193147159796932cc246823d">
      <tp>
        <v>2</v>
        <stp/>
        <stp>6742ff84-218e-4c93-b478-6f38d1a09fd3</stp>
        <tr r="AQ22" s="5"/>
      </tp>
      <tp>
        <v>2</v>
        <stp/>
        <stp>090d2542-513d-4d3c-a4a4-e880e1d2ad2d</stp>
        <tr r="AS39" s="5"/>
      </tp>
      <tp>
        <v>2</v>
        <stp/>
        <stp>d1d4b6b1-fb50-4dca-b737-06362a956200</stp>
        <tr r="AS51" s="5"/>
      </tp>
      <tp>
        <v>2</v>
        <stp/>
        <stp>41811567-3cb4-4a74-adc1-826a4368775f</stp>
        <tr r="AO50" s="5"/>
      </tp>
      <tp>
        <v>2</v>
        <stp/>
        <stp>eecf4aaf-0150-41db-8442-774751ddd282</stp>
        <tr r="AL43" s="5"/>
      </tp>
    </main>
    <main first="rtdsrv_9b737a45193147159796932cc246823d">
      <tp>
        <v>2</v>
        <stp/>
        <stp>efbd8182-236f-4cb3-aec0-3c5bf2143295</stp>
        <tr r="AN47" s="5"/>
      </tp>
    </main>
    <main first="rtdsrv_9b737a45193147159796932cc246823d">
      <tp>
        <v>2</v>
        <stp/>
        <stp>bb2cd6e6-86a4-409d-9c65-897584c5ced5</stp>
        <tr r="AM20" s="5"/>
      </tp>
    </main>
    <main first="rtdsrv_9b737a45193147159796932cc246823d">
      <tp>
        <v>2</v>
        <stp/>
        <stp>0e02d97a-2016-4971-bbfa-c9b73c2135af</stp>
        <tr r="AS28" s="5"/>
      </tp>
      <tp>
        <v>2</v>
        <stp/>
        <stp>81ced067-8e70-4c0a-b3a6-a8fb93841d82</stp>
        <tr r="AL47" s="5"/>
      </tp>
      <tp>
        <v>2</v>
        <stp/>
        <stp>cd243b27-516f-4b5f-b2bb-c4e88757ebcc</stp>
        <tr r="AO36" s="5"/>
      </tp>
      <tp>
        <v>2</v>
        <stp/>
        <stp>82d09d26-a75e-4cf5-9739-0b716687f375</stp>
        <tr r="AN40" s="5"/>
      </tp>
      <tp>
        <v>2</v>
        <stp/>
        <stp>ac545704-e225-43d7-a7ab-bf128c6137ce</stp>
        <tr r="AL39" s="5"/>
      </tp>
      <tp>
        <v>2</v>
        <stp/>
        <stp>2f4ba316-f850-4b59-aa83-ffc263da4293</stp>
        <tr r="AP24" s="5"/>
      </tp>
      <tp>
        <v>2</v>
        <stp/>
        <stp>2c9cbd6c-0a1c-44d4-8c49-375fa0f8fe67</stp>
        <tr r="Q7" s="5"/>
      </tp>
    </main>
    <main first="rtdsrv_9b737a45193147159796932cc246823d">
      <tp>
        <v>2</v>
        <stp/>
        <stp>91628366-4bbf-48e1-b653-6da8f40867dd</stp>
        <tr r="AQ18" s="5"/>
      </tp>
    </main>
    <main first="rtdsrv_9b737a45193147159796932cc246823d">
      <tp>
        <v>2</v>
        <stp/>
        <stp>431d7c45-a824-4c07-a5ea-bd452e7d1793</stp>
        <tr r="AM21" s="5"/>
      </tp>
      <tp>
        <v>2</v>
        <stp/>
        <stp>e6bc65a0-6b40-470a-ad1f-6843403068f5</stp>
        <tr r="AP47" s="5"/>
      </tp>
      <tp>
        <v>2</v>
        <stp/>
        <stp>87677a49-eac6-40fd-b162-044abc269c6d</stp>
        <tr r="AL21" s="5"/>
      </tp>
      <tp>
        <v>2</v>
        <stp/>
        <stp>cd5e8d6c-23d7-49f6-92f4-27e0450cb50d</stp>
        <tr r="AO21" s="5"/>
      </tp>
      <tp>
        <v>2</v>
        <stp/>
        <stp>b424ef0f-7ab9-44ba-a3e2-e7cd80b00330</stp>
        <tr r="AQ52" s="5"/>
      </tp>
    </main>
    <main first="rtdsrv_9b737a45193147159796932cc246823d">
      <tp>
        <v>2</v>
        <stp/>
        <stp>051ef04a-7929-4cf8-a12d-f79eb8d8cc8b</stp>
        <tr r="AP45" s="5"/>
      </tp>
      <tp>
        <v>2</v>
        <stp/>
        <stp>f8f87f1e-f9d7-4749-8bed-93791218e132</stp>
        <tr r="AS47" s="5"/>
      </tp>
      <tp>
        <v>2</v>
        <stp/>
        <stp>bad67be6-e917-448d-8e72-8c0285a2e7b5</stp>
        <tr r="AN44" s="5"/>
      </tp>
      <tp>
        <v>2</v>
        <stp/>
        <stp>62f2f8d2-98c5-4851-af1b-c01e13ff6d50</stp>
        <tr r="AM19" s="5"/>
      </tp>
      <tp>
        <v>2</v>
        <stp/>
        <stp>12b2ca0c-aa99-439a-a469-6add5caec35a</stp>
        <tr r="L14" s="5"/>
      </tp>
      <tp>
        <v>2</v>
        <stp/>
        <stp>4b1e2c1c-7314-45d5-a9cb-724790cd962b</stp>
        <tr r="AL30" s="5"/>
      </tp>
    </main>
    <main first="rtdsrv_9b737a45193147159796932cc246823d">
      <tp>
        <v>2</v>
        <stp/>
        <stp>44e9b56f-5cf1-434d-8d3e-64bd646f573d</stp>
        <tr r="AP40" s="5"/>
      </tp>
      <tp>
        <v>2</v>
        <stp/>
        <stp>396ce1a1-5077-43a2-8d27-fe41858e391a</stp>
        <tr r="AO24" s="5"/>
      </tp>
    </main>
    <main first="rtdsrv_9b737a45193147159796932cc246823d">
      <tp>
        <v>2</v>
        <stp/>
        <stp>8e68e55d-3988-4708-ace4-06b00e79d951</stp>
        <tr r="AN52" s="5"/>
      </tp>
    </main>
    <main first="rtdsrv_9b737a45193147159796932cc246823d">
      <tp>
        <v>2</v>
        <stp/>
        <stp>552257fd-2870-4e95-80fe-284068bc3798</stp>
        <tr r="AP29" s="5"/>
      </tp>
    </main>
    <main first="rtdsrv_9b737a45193147159796932cc246823d">
      <tp>
        <v>2</v>
        <stp/>
        <stp>31daf759-3fc2-4cf6-acb7-f7bcd88de5e1</stp>
        <tr r="C12" s="6"/>
      </tp>
    </main>
    <main first="rtdsrv_9b737a45193147159796932cc246823d">
      <tp>
        <v>2</v>
        <stp/>
        <stp>caa3be90-492d-46f3-9cc2-d1d6938ae97c</stp>
        <tr r="AQ21" s="5"/>
      </tp>
    </main>
    <main first="rtdsrv_9b737a45193147159796932cc246823d">
      <tp>
        <v>2</v>
        <stp/>
        <stp>d43f0ae3-1b1f-4267-b49f-3df90679bc94</stp>
        <tr r="AL20" s="5"/>
      </tp>
    </main>
    <main first="rtdsrv_9b737a45193147159796932cc246823d">
      <tp>
        <v>2</v>
        <stp/>
        <stp>6c4d6042-59de-478c-97f5-fdf2adde784e</stp>
        <tr r="AS35" s="5"/>
      </tp>
    </main>
    <main first="rtdsrv_9b737a45193147159796932cc246823d">
      <tp>
        <v>2</v>
        <stp/>
        <stp>40a16013-8f41-473c-9272-4703de60be46</stp>
        <tr r="AS48" s="5"/>
      </tp>
    </main>
    <main first="rtdsrv_9b737a45193147159796932cc246823d">
      <tp>
        <v>2</v>
        <stp/>
        <stp>89841ea4-8a15-4e69-9556-a3ca56aff6a6</stp>
        <tr r="AP27" s="5"/>
      </tp>
    </main>
    <main first="rtdsrv_9b737a45193147159796932cc246823d">
      <tp>
        <v>2</v>
        <stp/>
        <stp>cccabc08-dade-4abf-b159-34f13a2f8961</stp>
        <tr r="L21" s="5"/>
      </tp>
      <tp>
        <v>2</v>
        <stp/>
        <stp>25fe33c3-7771-4f3d-8397-830b03c76761</stp>
        <tr r="AL19" s="5"/>
      </tp>
    </main>
    <main first="rtdsrv_9b737a45193147159796932cc246823d">
      <tp>
        <v>2</v>
        <stp/>
        <stp>c7125e10-7585-4e7a-9b49-48ab9dd12614</stp>
        <tr r="AS23" s="5"/>
      </tp>
    </main>
    <main first="rtdsrv_9b737a45193147159796932cc246823d">
      <tp>
        <v>2</v>
        <stp/>
        <stp>2afdc606-0596-42af-b897-0ca10ca1ebfe</stp>
        <tr r="AL44" s="5"/>
      </tp>
    </main>
    <main first="rtdsrv_9b737a45193147159796932cc246823d">
      <tp>
        <v>2</v>
        <stp/>
        <stp>b7fdd21e-49b4-4af9-9524-e03e1360ac42</stp>
        <tr r="G12" s="6"/>
      </tp>
      <tp>
        <v>2</v>
        <stp/>
        <stp>420b7c8d-4dd3-425a-94bc-187eeaf2fe45</stp>
        <tr r="AM37" s="5"/>
      </tp>
    </main>
    <main first="rtdsrv_9b737a45193147159796932cc246823d">
      <tp>
        <v>2</v>
        <stp/>
        <stp>22035f35-87cb-4d02-b5c1-851e44f56f16</stp>
        <tr r="AQ25" s="5"/>
      </tp>
      <tp>
        <v>2</v>
        <stp/>
        <stp>c1550f15-ce41-47dd-a300-6c1f58630a40</stp>
        <tr r="AO53" s="5"/>
      </tp>
    </main>
    <main first="rtdsrv_9b737a45193147159796932cc246823d">
      <tp>
        <v>2</v>
        <stp/>
        <stp>785efb27-ef75-4bf7-872e-afade09355d0</stp>
        <tr r="AP46" s="5"/>
      </tp>
      <tp>
        <v>2</v>
        <stp/>
        <stp>f27880ab-855b-4ee5-b7f2-52000db03f62</stp>
        <tr r="AN26" s="5"/>
      </tp>
      <tp>
        <v>2</v>
        <stp/>
        <stp>f2c042bd-cfc6-4758-bab6-2ca1f26db120</stp>
        <tr r="AL18" s="5"/>
      </tp>
    </main>
    <main first="rtdsrv_9b737a45193147159796932cc246823d">
      <tp>
        <v>2</v>
        <stp/>
        <stp>138987d5-8481-4afe-9509-fce80e75c624</stp>
        <tr r="AT7" s="5"/>
      </tp>
    </main>
    <main first="rtdsrv_9b737a45193147159796932cc246823d">
      <tp>
        <v>2</v>
        <stp/>
        <stp>afb8841f-8ca1-4ed9-b7eb-28964c7a7431</stp>
        <tr r="AM22" s="5"/>
      </tp>
      <tp>
        <v>2</v>
        <stp/>
        <stp>4183f22a-4c8c-4b66-9faf-e962921212f9</stp>
        <tr r="AS30" s="5"/>
      </tp>
    </main>
    <main first="rtdsrv_9b737a45193147159796932cc246823d">
      <tp>
        <v>2</v>
        <stp/>
        <stp>888b87f4-2b37-4f0e-ab17-603cc72567b0</stp>
        <tr r="AO18" s="5"/>
      </tp>
    </main>
    <main first="rtdsrv_9b737a45193147159796932cc246823d">
      <tp>
        <v>2</v>
        <stp/>
        <stp>6b0e7568-b24c-4619-a8ea-902b3c03fc6e</stp>
        <tr r="AN24" s="5"/>
      </tp>
      <tp>
        <v>2</v>
        <stp/>
        <stp>267b3c6a-d311-4b4c-9f96-2636774823cf</stp>
        <tr r="AO25" s="5"/>
      </tp>
      <tp>
        <v>2</v>
        <stp/>
        <stp>80a3183b-07a0-4e0c-9a52-bfd9bbc47339</stp>
        <tr r="AP50" s="5"/>
      </tp>
    </main>
    <main first="rtdsrv_9b737a45193147159796932cc246823d">
      <tp>
        <v>2</v>
        <stp/>
        <stp>ce47e768-b57f-48dd-b5a1-60e1f9f09d96</stp>
        <tr r="AQ42" s="5"/>
      </tp>
    </main>
    <main first="rtdsrv_9b737a45193147159796932cc246823d">
      <tp>
        <v>2</v>
        <stp/>
        <stp>24b1c073-d27a-44af-b6aa-7c88cde228e4</stp>
        <tr r="AS42" s="5"/>
      </tp>
    </main>
    <main first="rtdsrv_9b737a45193147159796932cc246823d">
      <tp>
        <v>2</v>
        <stp/>
        <stp>0b6be939-e891-4850-a181-88728e510341</stp>
        <tr r="AQ41" s="5"/>
      </tp>
    </main>
    <main first="rtdsrv_9b737a45193147159796932cc246823d">
      <tp>
        <v>2</v>
        <stp/>
        <stp>2f1eb026-266c-462f-99fd-24a058231066</stp>
        <tr r="AQ44" s="5"/>
      </tp>
      <tp>
        <v>2</v>
        <stp/>
        <stp>26347deb-fff7-4981-8343-fd19397ca424</stp>
        <tr r="AQ49" s="5"/>
      </tp>
      <tp>
        <v>2</v>
        <stp/>
        <stp>02f2da61-434a-4117-a765-2c1d6e0e48aa</stp>
        <tr r="AL31" s="5"/>
      </tp>
      <tp>
        <v>2</v>
        <stp/>
        <stp>5f394281-caa3-437f-a49d-2488164bc242</stp>
        <tr r="AP39" s="5"/>
      </tp>
      <tp>
        <v>2</v>
        <stp/>
        <stp>c37cf3cc-c2fc-4bcb-b395-f412c0b06d12</stp>
        <tr r="AO29" s="5"/>
      </tp>
      <tp>
        <v>2</v>
        <stp/>
        <stp>1bea92ec-563f-461d-b451-4d0df85c8009</stp>
        <tr r="AL16" s="5"/>
      </tp>
    </main>
    <main first="rtdsrv_9b737a45193147159796932cc246823d">
      <tp>
        <v>2</v>
        <stp/>
        <stp>deb66ad3-e276-4eee-942d-d3125e96c86c</stp>
        <tr r="AL40" s="5"/>
      </tp>
    </main>
    <main first="rtdsrv_9b737a45193147159796932cc246823d">
      <tp>
        <v>2</v>
        <stp/>
        <stp>0c273982-1c90-46d4-91d6-d79c2a87a562</stp>
        <tr r="X14" s="5"/>
      </tp>
      <tp>
        <v>2</v>
        <stp/>
        <stp>8a9eb6a5-2d18-408e-96b2-5bc9ea41093a</stp>
        <tr r="E12" s="6"/>
      </tp>
    </main>
    <main first="rtdsrv_9b737a45193147159796932cc246823d">
      <tp>
        <v>2</v>
        <stp/>
        <stp>d58efa9e-525a-4548-9896-c06ac9f1a10b</stp>
        <tr r="AO28" s="5"/>
      </tp>
    </main>
    <main first="rtdsrv_9b737a45193147159796932cc246823d">
      <tp>
        <v>2</v>
        <stp/>
        <stp>1b23624a-f77b-4b1c-919b-5e82e0637a9f</stp>
        <tr r="AO33" s="5"/>
      </tp>
      <tp>
        <v>2</v>
        <stp/>
        <stp>5c567442-a355-4783-9300-f9d791630e32</stp>
        <tr r="C24" s="6"/>
      </tp>
      <tp>
        <v>2</v>
        <stp/>
        <stp>b01fea8e-9fe6-4e2f-8df7-fb358d5a71a8</stp>
        <tr r="AQ19" s="5"/>
      </tp>
      <tp>
        <v>2</v>
        <stp/>
        <stp>e1fbd656-88b6-427f-adcc-36c86ff5d55f</stp>
        <tr r="AP34" s="5"/>
      </tp>
      <tp>
        <v>2</v>
        <stp/>
        <stp>cd907313-9c69-4123-bf20-fd50d6a45b79</stp>
        <tr r="AN22" s="5"/>
      </tp>
      <tp>
        <v>2</v>
        <stp/>
        <stp>d0001b20-2955-4607-9826-ee9b49005f0b</stp>
        <tr r="AS31" s="5"/>
      </tp>
    </main>
    <main first="rtdsrv_9b737a45193147159796932cc246823d">
      <tp>
        <v>2</v>
        <stp/>
        <stp>b28048ac-e323-4b04-9b7b-af828edeb0e1</stp>
        <tr r="AM45" s="5"/>
      </tp>
    </main>
    <main first="rtdsrv_9b737a45193147159796932cc246823d">
      <tp>
        <v>2</v>
        <stp/>
        <stp>1ff5456e-60b1-45f6-a783-54870f728f75</stp>
        <tr r="AP23" s="5"/>
      </tp>
      <tp>
        <v>2</v>
        <stp/>
        <stp>5ef3362a-29c2-4854-b98c-d64ff0e6c453</stp>
        <tr r="AL36" s="5"/>
      </tp>
      <tp>
        <v>2</v>
        <stp/>
        <stp>3b27f5cb-ffb7-46f3-a47f-088414b30fa8</stp>
        <tr r="AM42" s="5"/>
      </tp>
    </main>
    <main first="rtdsrv_9b737a45193147159796932cc246823d">
      <tp>
        <v>2</v>
        <stp/>
        <stp>454adc73-b40f-4f09-9939-ae7f52f27695</stp>
        <tr r="AS34" s="5"/>
      </tp>
      <tp>
        <v>2</v>
        <stp/>
        <stp>840b60ff-1f55-49e8-9824-d0b2766c2f1b</stp>
        <tr r="AN51" s="5"/>
      </tp>
    </main>
    <main first="rtdsrv_9b737a45193147159796932cc246823d">
      <tp>
        <v>2</v>
        <stp/>
        <stp>b4c18e9f-1d54-4800-8683-acef0ffc130c</stp>
        <tr r="AS32" s="5"/>
      </tp>
    </main>
    <main first="rtdsrv_9b737a45193147159796932cc246823d">
      <tp>
        <v>2</v>
        <stp/>
        <stp>c8a2d48c-d499-45ce-b0e9-2654cecf2e94</stp>
        <tr r="AO14" s="5"/>
      </tp>
    </main>
    <main first="rtdsrv_9b737a45193147159796932cc246823d">
      <tp>
        <v>2</v>
        <stp/>
        <stp>1309a0a9-8e81-48e7-9577-4dd0113f00ce</stp>
        <tr r="AO27" s="5"/>
      </tp>
      <tp>
        <v>2</v>
        <stp/>
        <stp>2f40265b-890c-429a-8dad-4f9513769ce1</stp>
        <tr r="AL25" s="5"/>
      </tp>
    </main>
    <main first="rtdsrv_9b737a45193147159796932cc246823d">
      <tp>
        <v>2</v>
        <stp/>
        <stp>01bf6060-d682-4214-a69f-a402ead27ca2</stp>
        <tr r="AP48" s="5"/>
      </tp>
      <tp>
        <v>2</v>
        <stp/>
        <stp>e5c9cc11-d2de-4c1b-89d2-27af89389d07</stp>
        <tr r="AS22" s="5"/>
      </tp>
      <tp>
        <v>2</v>
        <stp/>
        <stp>4c42152b-7749-4699-aad0-03462aa1b0f6</stp>
        <tr r="AS21" s="5"/>
      </tp>
      <tp>
        <v>2</v>
        <stp/>
        <stp>9616e851-6674-4cf7-8fe1-b514139502f2</stp>
        <tr r="L7" s="5"/>
      </tp>
      <tp>
        <v>2</v>
        <stp/>
        <stp>fc53c097-4206-46d1-879d-98a9411b28ea</stp>
        <tr r="AS37" s="5"/>
      </tp>
    </main>
    <main first="rtdsrv_9b737a45193147159796932cc246823d">
      <tp>
        <v>2</v>
        <stp/>
        <stp>a6ecfda0-5aa9-4460-be84-cc961e435741</stp>
        <tr r="AS19" s="5"/>
      </tp>
    </main>
    <main first="rtdsrv_9b737a45193147159796932cc246823d">
      <tp>
        <v>2</v>
        <stp/>
        <stp>57cc9da3-72ed-4eda-ab69-98a9fa5b547a</stp>
        <tr r="AL29" s="5"/>
      </tp>
    </main>
    <main first="rtdsrv_9b737a45193147159796932cc246823d">
      <tp>
        <v>2</v>
        <stp/>
        <stp>587d570a-791e-468b-b632-5b1aa0b47e8d</stp>
        <tr r="AN31" s="5"/>
      </tp>
    </main>
    <main first="rtdsrv_9b737a45193147159796932cc246823d">
      <tp>
        <v>2</v>
        <stp/>
        <stp>85763e85-b913-4030-a391-b5f371336a11</stp>
        <tr r="AL37" s="5"/>
      </tp>
    </main>
    <main first="rtdsrv_9b737a45193147159796932cc246823d">
      <tp>
        <v>2</v>
        <stp/>
        <stp>5f107579-5ed6-4f1d-acce-1c2d5f804949</stp>
        <tr r="AM16" s="5"/>
      </tp>
    </main>
    <main first="rtdsrv_9b737a45193147159796932cc246823d">
      <tp>
        <v>2</v>
        <stp/>
        <stp>b20dc147-b082-4eb8-9fb7-4721a0bf9ae2</stp>
        <tr r="AL27" s="5"/>
      </tp>
    </main>
    <main first="rtdsrv_9b737a45193147159796932cc246823d">
      <tp>
        <v>2</v>
        <stp/>
        <stp>f1830564-3d54-4680-957d-69a6c1900e32</stp>
        <tr r="AL23" s="5"/>
      </tp>
      <tp>
        <v>2</v>
        <stp/>
        <stp>11a43bc7-34ac-4f05-ba7b-1867fe6fbb0d</stp>
        <tr r="AP52" s="5"/>
      </tp>
    </main>
    <main first="rtdsrv_9b737a45193147159796932cc246823d">
      <tp>
        <v>2</v>
        <stp/>
        <stp>7b65ece3-14dc-42f2-bff3-9637a905b603</stp>
        <tr r="AQ27" s="5"/>
      </tp>
      <tp>
        <v>2</v>
        <stp/>
        <stp>6cbb9aa8-9713-4cff-8fa7-0fe9b6b4b1d3</stp>
        <tr r="AQ31" s="5"/>
      </tp>
      <tp>
        <v>2</v>
        <stp/>
        <stp>ee9cc7d5-a6b3-4f6a-9f47-8958211b42aa</stp>
        <tr r="AP51" s="5"/>
      </tp>
      <tp>
        <v>2</v>
        <stp/>
        <stp>e9842214-2345-47ba-9899-77f1289cf2fd</stp>
        <tr r="G16" s="6"/>
      </tp>
      <tp>
        <v>2</v>
        <stp/>
        <stp>d91f230f-5543-4b26-85f3-560857f262d1</stp>
        <tr r="AM34" s="5"/>
      </tp>
      <tp>
        <v>2</v>
        <stp/>
        <stp>47e16c4f-44ef-41e2-912e-82c609e9b740</stp>
        <tr r="AO30" s="5"/>
      </tp>
      <tp>
        <v>2</v>
        <stp/>
        <stp>43821527-5cfd-4648-995d-15c38c20c411</stp>
        <tr r="AQ38" s="5"/>
      </tp>
    </main>
    <main first="rtdsrv_9b737a45193147159796932cc246823d">
      <tp>
        <v>2</v>
        <stp/>
        <stp>68a7d67a-8d6b-4614-94e9-763b895ff4d9</stp>
        <tr r="AL49" s="5"/>
      </tp>
      <tp>
        <v>2</v>
        <stp/>
        <stp>6bc8f762-e5b9-404f-8537-01023846b08a</stp>
        <tr r="AN18" s="5"/>
      </tp>
      <tp>
        <v>2</v>
        <stp/>
        <stp>220e90c6-ff2a-4f39-a1e2-00855002cdd9</stp>
        <tr r="AM25" s="5"/>
      </tp>
      <tp>
        <v>2</v>
        <stp/>
        <stp>18945b2b-a9bc-486d-87c9-972a0acf360a</stp>
        <tr r="AS26" s="5"/>
      </tp>
      <tp>
        <v>2</v>
        <stp/>
        <stp>bd60da4a-d3e7-47b7-a748-d5c623903891</stp>
        <tr r="AL42" s="5"/>
      </tp>
    </main>
  </volType>
</volType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volatileDependencies" Target="volatileDependencies.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Free</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10892388451443"/>
          <c:y val="0.17397832154685483"/>
          <c:w val="0.7773077427821522"/>
          <c:h val="0.51081355695570907"/>
        </c:manualLayout>
      </c:layout>
      <c:scatterChart>
        <c:scatterStyle val="smoothMarker"/>
        <c:varyColors val="0"/>
        <c:ser>
          <c:idx val="0"/>
          <c:order val="0"/>
          <c:tx>
            <c:strRef>
              <c:f>Sheet1!$C$1</c:f>
              <c:strCache>
                <c:ptCount val="1"/>
                <c:pt idx="0">
                  <c:v>1/2/2024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Sheet1!$C$2:$C$8</c:f>
              <c:numCache>
                <c:formatCode>0.00%</c:formatCode>
                <c:ptCount val="7"/>
                <c:pt idx="0">
                  <c:v>3.7499999999999999E-2</c:v>
                </c:pt>
                <c:pt idx="1">
                  <c:v>3.5700000000000003E-2</c:v>
                </c:pt>
                <c:pt idx="2">
                  <c:v>3.5700000000000003E-2</c:v>
                </c:pt>
                <c:pt idx="3">
                  <c:v>3.6499999999999998E-2</c:v>
                </c:pt>
                <c:pt idx="4">
                  <c:v>3.8399999999999997E-2</c:v>
                </c:pt>
                <c:pt idx="5">
                  <c:v>4.2900000000000001E-2</c:v>
                </c:pt>
                <c:pt idx="6">
                  <c:v>4.5499999999999999E-2</c:v>
                </c:pt>
              </c:numCache>
            </c:numRef>
          </c:yVal>
          <c:smooth val="1"/>
          <c:extLst>
            <c:ext xmlns:c16="http://schemas.microsoft.com/office/drawing/2014/chart" uri="{C3380CC4-5D6E-409C-BE32-E72D297353CC}">
              <c16:uniqueId val="{00000000-4583-453C-AD38-D56612D246D0}"/>
            </c:ext>
          </c:extLst>
        </c:ser>
        <c:ser>
          <c:idx val="1"/>
          <c:order val="1"/>
          <c:tx>
            <c:strRef>
              <c:f>Sheet1!$D$1</c:f>
              <c:strCache>
                <c:ptCount val="1"/>
                <c:pt idx="0">
                  <c:v>12/2/2023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Sheet1!$D$2:$D$8</c:f>
              <c:numCache>
                <c:formatCode>0.00%</c:formatCode>
                <c:ptCount val="7"/>
                <c:pt idx="0">
                  <c:v>3.5999999999999997E-2</c:v>
                </c:pt>
                <c:pt idx="1">
                  <c:v>3.4200000000000001E-2</c:v>
                </c:pt>
                <c:pt idx="2">
                  <c:v>3.4200000000000001E-2</c:v>
                </c:pt>
                <c:pt idx="3">
                  <c:v>3.5000000000000003E-2</c:v>
                </c:pt>
                <c:pt idx="4">
                  <c:v>3.6900000000000002E-2</c:v>
                </c:pt>
                <c:pt idx="5">
                  <c:v>4.1399999999999999E-2</c:v>
                </c:pt>
                <c:pt idx="6">
                  <c:v>4.3999999999999997E-2</c:v>
                </c:pt>
              </c:numCache>
            </c:numRef>
          </c:yVal>
          <c:smooth val="1"/>
          <c:extLst>
            <c:ext xmlns:c16="http://schemas.microsoft.com/office/drawing/2014/chart" uri="{C3380CC4-5D6E-409C-BE32-E72D297353CC}">
              <c16:uniqueId val="{00000001-4583-453C-AD38-D56612D246D0}"/>
            </c:ext>
          </c:extLst>
        </c:ser>
        <c:ser>
          <c:idx val="2"/>
          <c:order val="2"/>
          <c:tx>
            <c:strRef>
              <c:f>Sheet1!$E$1</c:f>
              <c:strCache>
                <c:ptCount val="1"/>
                <c:pt idx="0">
                  <c:v>11/2/2023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Sheet1!$E$2:$E$8</c:f>
              <c:numCache>
                <c:formatCode>0.00%</c:formatCode>
                <c:ptCount val="7"/>
                <c:pt idx="0">
                  <c:v>3.5099999999999999E-2</c:v>
                </c:pt>
                <c:pt idx="1">
                  <c:v>3.3300000000000003E-2</c:v>
                </c:pt>
                <c:pt idx="2">
                  <c:v>3.3300000000000003E-2</c:v>
                </c:pt>
                <c:pt idx="3">
                  <c:v>3.4099999999999998E-2</c:v>
                </c:pt>
                <c:pt idx="4">
                  <c:v>3.5999999999999997E-2</c:v>
                </c:pt>
                <c:pt idx="5">
                  <c:v>4.0500000000000001E-2</c:v>
                </c:pt>
                <c:pt idx="6">
                  <c:v>4.3099999999999999E-2</c:v>
                </c:pt>
              </c:numCache>
            </c:numRef>
          </c:yVal>
          <c:smooth val="1"/>
          <c:extLst>
            <c:ext xmlns:c16="http://schemas.microsoft.com/office/drawing/2014/chart" uri="{C3380CC4-5D6E-409C-BE32-E72D297353CC}">
              <c16:uniqueId val="{00000002-4583-453C-AD38-D56612D246D0}"/>
            </c:ext>
          </c:extLst>
        </c:ser>
        <c:ser>
          <c:idx val="3"/>
          <c:order val="3"/>
          <c:tx>
            <c:strRef>
              <c:f>Sheet1!$F$1</c:f>
              <c:strCache>
                <c:ptCount val="1"/>
                <c:pt idx="0">
                  <c:v>10/2/2023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Sheet1!$B$2:$B$8</c:f>
              <c:numCache>
                <c:formatCode>0.00</c:formatCode>
                <c:ptCount val="7"/>
                <c:pt idx="0">
                  <c:v>0.25</c:v>
                </c:pt>
                <c:pt idx="1">
                  <c:v>1</c:v>
                </c:pt>
                <c:pt idx="2">
                  <c:v>2</c:v>
                </c:pt>
                <c:pt idx="3">
                  <c:v>3</c:v>
                </c:pt>
                <c:pt idx="4">
                  <c:v>5</c:v>
                </c:pt>
                <c:pt idx="5">
                  <c:v>10</c:v>
                </c:pt>
                <c:pt idx="6">
                  <c:v>30</c:v>
                </c:pt>
              </c:numCache>
            </c:numRef>
          </c:xVal>
          <c:yVal>
            <c:numRef>
              <c:f>Sheet1!$F$2:$F$8</c:f>
              <c:numCache>
                <c:formatCode>0.00%</c:formatCode>
                <c:ptCount val="7"/>
                <c:pt idx="0">
                  <c:v>3.5099999999999999E-2</c:v>
                </c:pt>
                <c:pt idx="1">
                  <c:v>3.3300000000000003E-2</c:v>
                </c:pt>
                <c:pt idx="2">
                  <c:v>3.3300000000000003E-2</c:v>
                </c:pt>
                <c:pt idx="3">
                  <c:v>3.4099999999999998E-2</c:v>
                </c:pt>
                <c:pt idx="4">
                  <c:v>3.5999999999999997E-2</c:v>
                </c:pt>
                <c:pt idx="5">
                  <c:v>4.0500000000000001E-2</c:v>
                </c:pt>
                <c:pt idx="6">
                  <c:v>4.3099999999999999E-2</c:v>
                </c:pt>
              </c:numCache>
            </c:numRef>
          </c:yVal>
          <c:smooth val="1"/>
          <c:extLst>
            <c:ext xmlns:c16="http://schemas.microsoft.com/office/drawing/2014/chart" uri="{C3380CC4-5D6E-409C-BE32-E72D297353CC}">
              <c16:uniqueId val="{00000003-4583-453C-AD38-D56612D246D0}"/>
            </c:ext>
          </c:extLst>
        </c:ser>
        <c:dLbls>
          <c:showLegendKey val="0"/>
          <c:showVal val="0"/>
          <c:showCatName val="0"/>
          <c:showSerName val="0"/>
          <c:showPercent val="0"/>
          <c:showBubbleSize val="0"/>
        </c:dLbls>
        <c:axId val="2029737488"/>
        <c:axId val="2029737968"/>
      </c:scatterChart>
      <c:valAx>
        <c:axId val="2029737488"/>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Tenor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968"/>
        <c:crosses val="autoZero"/>
        <c:crossBetween val="midCat"/>
      </c:valAx>
      <c:valAx>
        <c:axId val="2029737968"/>
        <c:scaling>
          <c:orientation val="minMax"/>
          <c:min val="2.5000000000000005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Free </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'PoD Calc'!$T$44</c:f>
          <c:strCache>
            <c:ptCount val="1"/>
            <c:pt idx="0">
              <c:v>Credit Spreads for 2-1-2024</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'PoD Calc'!$P$13</c:f>
              <c:strCache>
                <c:ptCount val="1"/>
                <c:pt idx="0">
                  <c:v>AAA spread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Calc'!$P$14:$P$20</c:f>
              <c:numCache>
                <c:formatCode>0.00%</c:formatCode>
                <c:ptCount val="7"/>
                <c:pt idx="0">
                  <c:v>4.3750000000000004E-3</c:v>
                </c:pt>
                <c:pt idx="1">
                  <c:v>4.5999999999999999E-3</c:v>
                </c:pt>
                <c:pt idx="2">
                  <c:v>4.8999999999999998E-3</c:v>
                </c:pt>
                <c:pt idx="3">
                  <c:v>5.1999999999999998E-3</c:v>
                </c:pt>
                <c:pt idx="4">
                  <c:v>5.7999999999999996E-3</c:v>
                </c:pt>
                <c:pt idx="5">
                  <c:v>7.3000000000000001E-3</c:v>
                </c:pt>
                <c:pt idx="6">
                  <c:v>1.3299999999999999E-2</c:v>
                </c:pt>
              </c:numCache>
            </c:numRef>
          </c:yVal>
          <c:smooth val="1"/>
          <c:extLst>
            <c:ext xmlns:c16="http://schemas.microsoft.com/office/drawing/2014/chart" uri="{C3380CC4-5D6E-409C-BE32-E72D297353CC}">
              <c16:uniqueId val="{00000004-A4B8-4867-BB4E-06C947349FE7}"/>
            </c:ext>
          </c:extLst>
        </c:ser>
        <c:ser>
          <c:idx val="1"/>
          <c:order val="1"/>
          <c:tx>
            <c:strRef>
              <c:f>'PoD Calc'!$Q$13</c:f>
              <c:strCache>
                <c:ptCount val="1"/>
                <c:pt idx="0">
                  <c:v>AA spread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Calc'!$Q$14:$Q$20</c:f>
              <c:numCache>
                <c:formatCode>0.00%</c:formatCode>
                <c:ptCount val="7"/>
                <c:pt idx="0">
                  <c:v>9.1000000000000004E-3</c:v>
                </c:pt>
                <c:pt idx="1">
                  <c:v>9.4000000000000004E-3</c:v>
                </c:pt>
                <c:pt idx="2">
                  <c:v>9.7999999999999997E-3</c:v>
                </c:pt>
                <c:pt idx="3">
                  <c:v>1.0200000000000001E-2</c:v>
                </c:pt>
                <c:pt idx="4">
                  <c:v>1.0999999999999999E-2</c:v>
                </c:pt>
                <c:pt idx="5">
                  <c:v>1.2999999999999999E-2</c:v>
                </c:pt>
                <c:pt idx="6">
                  <c:v>2.1000000000000001E-2</c:v>
                </c:pt>
              </c:numCache>
            </c:numRef>
          </c:yVal>
          <c:smooth val="1"/>
          <c:extLst>
            <c:ext xmlns:c16="http://schemas.microsoft.com/office/drawing/2014/chart" uri="{C3380CC4-5D6E-409C-BE32-E72D297353CC}">
              <c16:uniqueId val="{00000008-A4B8-4867-BB4E-06C947349FE7}"/>
            </c:ext>
          </c:extLst>
        </c:ser>
        <c:ser>
          <c:idx val="2"/>
          <c:order val="2"/>
          <c:tx>
            <c:strRef>
              <c:f>'PoD Calc'!$R$13</c:f>
              <c:strCache>
                <c:ptCount val="1"/>
                <c:pt idx="0">
                  <c:v>A spread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Calc'!$R$14:$R$20</c:f>
              <c:numCache>
                <c:formatCode>0.00%</c:formatCode>
                <c:ptCount val="7"/>
                <c:pt idx="0">
                  <c:v>1.2749999999999999E-2</c:v>
                </c:pt>
                <c:pt idx="1">
                  <c:v>1.32E-2</c:v>
                </c:pt>
                <c:pt idx="2">
                  <c:v>1.38E-2</c:v>
                </c:pt>
                <c:pt idx="3">
                  <c:v>1.44E-2</c:v>
                </c:pt>
                <c:pt idx="4">
                  <c:v>1.5599999999999999E-2</c:v>
                </c:pt>
                <c:pt idx="5">
                  <c:v>1.8599999999999998E-2</c:v>
                </c:pt>
                <c:pt idx="6">
                  <c:v>3.0599999999999999E-2</c:v>
                </c:pt>
              </c:numCache>
            </c:numRef>
          </c:yVal>
          <c:smooth val="1"/>
          <c:extLst>
            <c:ext xmlns:c16="http://schemas.microsoft.com/office/drawing/2014/chart" uri="{C3380CC4-5D6E-409C-BE32-E72D297353CC}">
              <c16:uniqueId val="{00000009-A4B8-4867-BB4E-06C947349FE7}"/>
            </c:ext>
          </c:extLst>
        </c:ser>
        <c:ser>
          <c:idx val="3"/>
          <c:order val="3"/>
          <c:tx>
            <c:strRef>
              <c:f>'PoD Calc'!$S$13</c:f>
              <c:strCache>
                <c:ptCount val="1"/>
                <c:pt idx="0">
                  <c:v>BBB spread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Calc'!$S$14:$S$20</c:f>
              <c:numCache>
                <c:formatCode>0.00%</c:formatCode>
                <c:ptCount val="7"/>
                <c:pt idx="0">
                  <c:v>1.9125E-2</c:v>
                </c:pt>
                <c:pt idx="1">
                  <c:v>1.9800000000000002E-2</c:v>
                </c:pt>
                <c:pt idx="2">
                  <c:v>2.07E-2</c:v>
                </c:pt>
                <c:pt idx="3">
                  <c:v>2.1600000000000001E-2</c:v>
                </c:pt>
                <c:pt idx="4">
                  <c:v>2.3400000000000001E-2</c:v>
                </c:pt>
                <c:pt idx="5">
                  <c:v>2.7900000000000001E-2</c:v>
                </c:pt>
                <c:pt idx="6">
                  <c:v>4.5900000000000003E-2</c:v>
                </c:pt>
              </c:numCache>
            </c:numRef>
          </c:yVal>
          <c:smooth val="1"/>
          <c:extLst>
            <c:ext xmlns:c16="http://schemas.microsoft.com/office/drawing/2014/chart" uri="{C3380CC4-5D6E-409C-BE32-E72D297353CC}">
              <c16:uniqueId val="{0000000A-A4B8-4867-BB4E-06C947349FE7}"/>
            </c:ext>
          </c:extLst>
        </c:ser>
        <c:ser>
          <c:idx val="4"/>
          <c:order val="4"/>
          <c:tx>
            <c:strRef>
              <c:f>'PoD Calc'!$T$13</c:f>
              <c:strCache>
                <c:ptCount val="1"/>
                <c:pt idx="0">
                  <c:v>BB spread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Calc'!$T$14:$T$20</c:f>
              <c:numCache>
                <c:formatCode>0.00%</c:formatCode>
                <c:ptCount val="7"/>
                <c:pt idx="0">
                  <c:v>3.5000000000000003E-2</c:v>
                </c:pt>
                <c:pt idx="1">
                  <c:v>3.5900000000000001E-2</c:v>
                </c:pt>
                <c:pt idx="2">
                  <c:v>3.7100000000000001E-2</c:v>
                </c:pt>
                <c:pt idx="3">
                  <c:v>3.8300000000000001E-2</c:v>
                </c:pt>
                <c:pt idx="4">
                  <c:v>4.07E-2</c:v>
                </c:pt>
                <c:pt idx="5">
                  <c:v>4.6699999999999998E-2</c:v>
                </c:pt>
                <c:pt idx="6">
                  <c:v>7.0699999999999999E-2</c:v>
                </c:pt>
              </c:numCache>
            </c:numRef>
          </c:yVal>
          <c:smooth val="1"/>
          <c:extLst>
            <c:ext xmlns:c16="http://schemas.microsoft.com/office/drawing/2014/chart" uri="{C3380CC4-5D6E-409C-BE32-E72D297353CC}">
              <c16:uniqueId val="{0000000B-A4B8-4867-BB4E-06C947349FE7}"/>
            </c:ext>
          </c:extLst>
        </c:ser>
        <c:ser>
          <c:idx val="5"/>
          <c:order val="5"/>
          <c:tx>
            <c:strRef>
              <c:f>'PoD Calc'!$U$13</c:f>
              <c:strCache>
                <c:ptCount val="1"/>
                <c:pt idx="0">
                  <c:v>B spread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'PoD Calc'!$M$14:$M$20</c:f>
              <c:numCache>
                <c:formatCode>0.00</c:formatCode>
                <c:ptCount val="7"/>
                <c:pt idx="0">
                  <c:v>0.25</c:v>
                </c:pt>
                <c:pt idx="1">
                  <c:v>1</c:v>
                </c:pt>
                <c:pt idx="2">
                  <c:v>2</c:v>
                </c:pt>
                <c:pt idx="3">
                  <c:v>3</c:v>
                </c:pt>
                <c:pt idx="4">
                  <c:v>5</c:v>
                </c:pt>
                <c:pt idx="5">
                  <c:v>10</c:v>
                </c:pt>
                <c:pt idx="6">
                  <c:v>30</c:v>
                </c:pt>
              </c:numCache>
            </c:numRef>
          </c:xVal>
          <c:yVal>
            <c:numRef>
              <c:f>'PoD Calc'!$U$14:$U$20</c:f>
              <c:numCache>
                <c:formatCode>0.00%</c:formatCode>
                <c:ptCount val="7"/>
                <c:pt idx="0">
                  <c:v>5.6050000000000003E-2</c:v>
                </c:pt>
                <c:pt idx="1">
                  <c:v>5.74E-2</c:v>
                </c:pt>
                <c:pt idx="2">
                  <c:v>5.9200000000000003E-2</c:v>
                </c:pt>
                <c:pt idx="3">
                  <c:v>6.0999999999999999E-2</c:v>
                </c:pt>
                <c:pt idx="4">
                  <c:v>6.4600000000000005E-2</c:v>
                </c:pt>
                <c:pt idx="5">
                  <c:v>7.3599999999999999E-2</c:v>
                </c:pt>
                <c:pt idx="6">
                  <c:v>0.1096</c:v>
                </c:pt>
              </c:numCache>
            </c:numRef>
          </c:yVal>
          <c:smooth val="1"/>
          <c:extLst>
            <c:ext xmlns:c16="http://schemas.microsoft.com/office/drawing/2014/chart" uri="{C3380CC4-5D6E-409C-BE32-E72D297353CC}">
              <c16:uniqueId val="{0000000C-A4B8-4867-BB4E-06C947349FE7}"/>
            </c:ext>
          </c:extLst>
        </c:ser>
        <c:dLbls>
          <c:showLegendKey val="0"/>
          <c:showVal val="0"/>
          <c:showCatName val="0"/>
          <c:showSerName val="0"/>
          <c:showPercent val="0"/>
          <c:showBubbleSize val="0"/>
        </c:dLbls>
        <c:axId val="2029737488"/>
        <c:axId val="2029737968"/>
      </c:scatterChart>
      <c:valAx>
        <c:axId val="2029737488"/>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Tenor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968"/>
        <c:crosses val="autoZero"/>
        <c:crossBetween val="midCat"/>
      </c:valAx>
      <c:valAx>
        <c:axId val="20297379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Credit Spreads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37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25</xdr:row>
      <xdr:rowOff>0</xdr:rowOff>
    </xdr:from>
    <xdr:to>
      <xdr:col>11</xdr:col>
      <xdr:colOff>12470</xdr:colOff>
      <xdr:row>25</xdr:row>
      <xdr:rowOff>12470</xdr:rowOff>
    </xdr:to>
    <xdr:pic>
      <xdr:nvPicPr>
        <xdr:cNvPr id="11" name="Picture 10" descr="domino_poc_img_Sheet2_R31C2">
          <a:extLst>
            <a:ext uri="{FF2B5EF4-FFF2-40B4-BE49-F238E27FC236}">
              <a16:creationId xmlns:a16="http://schemas.microsoft.com/office/drawing/2014/main" id="{5492DF44-36FD-8193-3A8D-055BD9B2A8D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100" y="6024563"/>
          <a:ext cx="12470" cy="12470"/>
        </a:xfrm>
        <a:prstGeom prst="rect">
          <a:avLst/>
        </a:prstGeom>
      </xdr:spPr>
    </xdr:pic>
    <xdr:clientData/>
  </xdr:twoCellAnchor>
  <xdr:twoCellAnchor editAs="oneCell">
    <xdr:from>
      <xdr:col>11</xdr:col>
      <xdr:colOff>0</xdr:colOff>
      <xdr:row>41</xdr:row>
      <xdr:rowOff>0</xdr:rowOff>
    </xdr:from>
    <xdr:to>
      <xdr:col>11</xdr:col>
      <xdr:colOff>12470</xdr:colOff>
      <xdr:row>41</xdr:row>
      <xdr:rowOff>12470</xdr:rowOff>
    </xdr:to>
    <xdr:pic>
      <xdr:nvPicPr>
        <xdr:cNvPr id="13" name="Picture 12" descr="domino_poc_img_Sheet2_R35C2">
          <a:extLst>
            <a:ext uri="{FF2B5EF4-FFF2-40B4-BE49-F238E27FC236}">
              <a16:creationId xmlns:a16="http://schemas.microsoft.com/office/drawing/2014/main" id="{0890A33F-A072-A289-C71A-6232543427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100" y="6748463"/>
          <a:ext cx="12470" cy="12470"/>
        </a:xfrm>
        <a:prstGeom prst="rect">
          <a:avLst/>
        </a:prstGeom>
      </xdr:spPr>
    </xdr:pic>
    <xdr:clientData/>
  </xdr:twoCellAnchor>
  <xdr:oneCellAnchor>
    <xdr:from>
      <xdr:col>11</xdr:col>
      <xdr:colOff>0</xdr:colOff>
      <xdr:row>44</xdr:row>
      <xdr:rowOff>0</xdr:rowOff>
    </xdr:from>
    <xdr:ext cx="12470" cy="12470"/>
    <xdr:pic>
      <xdr:nvPicPr>
        <xdr:cNvPr id="2" name="Picture 1" descr="domino_poc_img_Sheet2_R31C2">
          <a:extLst>
            <a:ext uri="{FF2B5EF4-FFF2-40B4-BE49-F238E27FC236}">
              <a16:creationId xmlns:a16="http://schemas.microsoft.com/office/drawing/2014/main" id="{EF674D53-8830-406F-8378-C39BFF0AA6C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6673" y="6613923"/>
          <a:ext cx="12470" cy="12470"/>
        </a:xfrm>
        <a:prstGeom prst="rect">
          <a:avLst/>
        </a:prstGeom>
      </xdr:spPr>
    </xdr:pic>
    <xdr:clientData/>
  </xdr:oneCellAnchor>
  <xdr:oneCellAnchor>
    <xdr:from>
      <xdr:col>11</xdr:col>
      <xdr:colOff>0</xdr:colOff>
      <xdr:row>32</xdr:row>
      <xdr:rowOff>0</xdr:rowOff>
    </xdr:from>
    <xdr:ext cx="12470" cy="12470"/>
    <xdr:pic>
      <xdr:nvPicPr>
        <xdr:cNvPr id="3" name="Picture 2" descr="domino_poc_img_Sheet2_R31C2">
          <a:extLst>
            <a:ext uri="{FF2B5EF4-FFF2-40B4-BE49-F238E27FC236}">
              <a16:creationId xmlns:a16="http://schemas.microsoft.com/office/drawing/2014/main" id="{7A27C757-B624-42CA-930D-EF2EA6BB31F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39</xdr:row>
      <xdr:rowOff>0</xdr:rowOff>
    </xdr:from>
    <xdr:ext cx="12470" cy="12470"/>
    <xdr:pic>
      <xdr:nvPicPr>
        <xdr:cNvPr id="4" name="Picture 3" descr="domino_poc_img_Sheet2_R31C2">
          <a:extLst>
            <a:ext uri="{FF2B5EF4-FFF2-40B4-BE49-F238E27FC236}">
              <a16:creationId xmlns:a16="http://schemas.microsoft.com/office/drawing/2014/main" id="{ED5A7356-8C7E-4265-A930-208D0145B11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46</xdr:row>
      <xdr:rowOff>0</xdr:rowOff>
    </xdr:from>
    <xdr:ext cx="12470" cy="12470"/>
    <xdr:pic>
      <xdr:nvPicPr>
        <xdr:cNvPr id="5" name="Picture 4" descr="domino_poc_img_Sheet2_R31C2">
          <a:extLst>
            <a:ext uri="{FF2B5EF4-FFF2-40B4-BE49-F238E27FC236}">
              <a16:creationId xmlns:a16="http://schemas.microsoft.com/office/drawing/2014/main" id="{5B6CECCA-5DFF-47BA-A51B-3629082CE3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53</xdr:row>
      <xdr:rowOff>0</xdr:rowOff>
    </xdr:from>
    <xdr:ext cx="12470" cy="12470"/>
    <xdr:pic>
      <xdr:nvPicPr>
        <xdr:cNvPr id="6" name="Picture 5" descr="domino_poc_img_Sheet2_R31C2">
          <a:extLst>
            <a:ext uri="{FF2B5EF4-FFF2-40B4-BE49-F238E27FC236}">
              <a16:creationId xmlns:a16="http://schemas.microsoft.com/office/drawing/2014/main" id="{C2AF8BE6-3A19-41D7-A237-200BC1D5F5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60</xdr:row>
      <xdr:rowOff>0</xdr:rowOff>
    </xdr:from>
    <xdr:ext cx="12470" cy="12470"/>
    <xdr:pic>
      <xdr:nvPicPr>
        <xdr:cNvPr id="7" name="Picture 6" descr="domino_poc_img_Sheet2_R31C2">
          <a:extLst>
            <a:ext uri="{FF2B5EF4-FFF2-40B4-BE49-F238E27FC236}">
              <a16:creationId xmlns:a16="http://schemas.microsoft.com/office/drawing/2014/main" id="{166C625E-AF79-4839-A3F9-143B5E62E2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6" y="4848226"/>
          <a:ext cx="12470" cy="12470"/>
        </a:xfrm>
        <a:prstGeom prst="rect">
          <a:avLst/>
        </a:prstGeom>
      </xdr:spPr>
    </xdr:pic>
    <xdr:clientData/>
  </xdr:oneCellAnchor>
  <xdr:oneCellAnchor>
    <xdr:from>
      <xdr:col>11</xdr:col>
      <xdr:colOff>0</xdr:colOff>
      <xdr:row>67</xdr:row>
      <xdr:rowOff>0</xdr:rowOff>
    </xdr:from>
    <xdr:ext cx="12470" cy="12470"/>
    <xdr:pic>
      <xdr:nvPicPr>
        <xdr:cNvPr id="8" name="Picture 7" descr="domino_poc_img_Sheet2_R31C2">
          <a:extLst>
            <a:ext uri="{FF2B5EF4-FFF2-40B4-BE49-F238E27FC236}">
              <a16:creationId xmlns:a16="http://schemas.microsoft.com/office/drawing/2014/main" id="{AC2D0CE4-E9C7-4EA0-9650-05E1BF5C45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74</xdr:row>
      <xdr:rowOff>0</xdr:rowOff>
    </xdr:from>
    <xdr:ext cx="12470" cy="12470"/>
    <xdr:pic>
      <xdr:nvPicPr>
        <xdr:cNvPr id="9" name="Picture 8" descr="domino_poc_img_Sheet2_R31C2">
          <a:extLst>
            <a:ext uri="{FF2B5EF4-FFF2-40B4-BE49-F238E27FC236}">
              <a16:creationId xmlns:a16="http://schemas.microsoft.com/office/drawing/2014/main" id="{220A4583-309F-45EA-8042-4F773B6B75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81</xdr:row>
      <xdr:rowOff>0</xdr:rowOff>
    </xdr:from>
    <xdr:ext cx="12470" cy="12470"/>
    <xdr:pic>
      <xdr:nvPicPr>
        <xdr:cNvPr id="10" name="Picture 9" descr="domino_poc_img_Sheet2_R31C2">
          <a:extLst>
            <a:ext uri="{FF2B5EF4-FFF2-40B4-BE49-F238E27FC236}">
              <a16:creationId xmlns:a16="http://schemas.microsoft.com/office/drawing/2014/main" id="{1955D54E-0894-4B4E-B48B-105B68D51F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88</xdr:row>
      <xdr:rowOff>0</xdr:rowOff>
    </xdr:from>
    <xdr:ext cx="12470" cy="12470"/>
    <xdr:pic>
      <xdr:nvPicPr>
        <xdr:cNvPr id="12" name="Picture 11" descr="domino_poc_img_Sheet2_R31C2">
          <a:extLst>
            <a:ext uri="{FF2B5EF4-FFF2-40B4-BE49-F238E27FC236}">
              <a16:creationId xmlns:a16="http://schemas.microsoft.com/office/drawing/2014/main" id="{6EB84099-7C8F-4B50-93A9-45F416C417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95</xdr:row>
      <xdr:rowOff>0</xdr:rowOff>
    </xdr:from>
    <xdr:ext cx="12470" cy="12470"/>
    <xdr:pic>
      <xdr:nvPicPr>
        <xdr:cNvPr id="14" name="Picture 13" descr="domino_poc_img_Sheet2_R31C2">
          <a:extLst>
            <a:ext uri="{FF2B5EF4-FFF2-40B4-BE49-F238E27FC236}">
              <a16:creationId xmlns:a16="http://schemas.microsoft.com/office/drawing/2014/main" id="{D3B08F4B-A66C-4EAE-8FCA-98CD0DA1C7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oneCellAnchor>
    <xdr:from>
      <xdr:col>11</xdr:col>
      <xdr:colOff>0</xdr:colOff>
      <xdr:row>102</xdr:row>
      <xdr:rowOff>0</xdr:rowOff>
    </xdr:from>
    <xdr:ext cx="12470" cy="12470"/>
    <xdr:pic>
      <xdr:nvPicPr>
        <xdr:cNvPr id="15" name="Picture 14" descr="domino_poc_img_Sheet2_R31C2">
          <a:extLst>
            <a:ext uri="{FF2B5EF4-FFF2-40B4-BE49-F238E27FC236}">
              <a16:creationId xmlns:a16="http://schemas.microsoft.com/office/drawing/2014/main" id="{CA010DF6-5476-43E7-865F-71FAB2EB94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7342" y="11222182"/>
          <a:ext cx="12470" cy="12470"/>
        </a:xfrm>
        <a:prstGeom prst="rect">
          <a:avLst/>
        </a:prstGeom>
      </xdr:spPr>
    </xdr:pic>
    <xdr:clientData/>
  </xdr:oneCellAnchor>
  <xdr:twoCellAnchor>
    <xdr:from>
      <xdr:col>10</xdr:col>
      <xdr:colOff>759024</xdr:colOff>
      <xdr:row>44</xdr:row>
      <xdr:rowOff>7441</xdr:rowOff>
    </xdr:from>
    <xdr:to>
      <xdr:col>16</xdr:col>
      <xdr:colOff>92274</xdr:colOff>
      <xdr:row>59</xdr:row>
      <xdr:rowOff>36015</xdr:rowOff>
    </xdr:to>
    <xdr:graphicFrame macro="">
      <xdr:nvGraphicFramePr>
        <xdr:cNvPr id="16" name="Chart 15">
          <a:extLst>
            <a:ext uri="{FF2B5EF4-FFF2-40B4-BE49-F238E27FC236}">
              <a16:creationId xmlns:a16="http://schemas.microsoft.com/office/drawing/2014/main" id="{F908480D-65B6-4242-BEAD-A087DD77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408682</xdr:colOff>
      <xdr:row>44</xdr:row>
      <xdr:rowOff>18753</xdr:rowOff>
    </xdr:from>
    <xdr:to>
      <xdr:col>22</xdr:col>
      <xdr:colOff>203300</xdr:colOff>
      <xdr:row>59</xdr:row>
      <xdr:rowOff>47327</xdr:rowOff>
    </xdr:to>
    <xdr:graphicFrame macro="">
      <xdr:nvGraphicFramePr>
        <xdr:cNvPr id="17" name="Chart 16">
          <a:extLst>
            <a:ext uri="{FF2B5EF4-FFF2-40B4-BE49-F238E27FC236}">
              <a16:creationId xmlns:a16="http://schemas.microsoft.com/office/drawing/2014/main" id="{7AD04526-33F4-4811-BDFE-D1273356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enerable">
      <a:dk1>
        <a:sysClr val="windowText" lastClr="000000"/>
      </a:dk1>
      <a:lt1>
        <a:sysClr val="window" lastClr="FFFFFF"/>
      </a:lt1>
      <a:dk2>
        <a:srgbClr val="0E2841"/>
      </a:dk2>
      <a:lt2>
        <a:srgbClr val="E8E8E8"/>
      </a:lt2>
      <a:accent1>
        <a:srgbClr val="156082"/>
      </a:accent1>
      <a:accent2>
        <a:srgbClr val="FF6543"/>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245D-5D80-43CD-8369-855D886B53D3}">
  <dimension ref="B2:AW2013"/>
  <sheetViews>
    <sheetView tabSelected="1" topLeftCell="J1" zoomScale="70" zoomScaleNormal="70" workbookViewId="0">
      <selection activeCell="P2" sqref="P2"/>
    </sheetView>
  </sheetViews>
  <sheetFormatPr defaultRowHeight="14.25" x14ac:dyDescent="0.45"/>
  <cols>
    <col min="1" max="1" width="4.1328125" style="1" customWidth="1"/>
    <col min="2" max="2" width="0.19921875" style="1" hidden="1" customWidth="1"/>
    <col min="3" max="3" width="9.06640625" style="1" hidden="1" customWidth="1"/>
    <col min="4" max="5" width="8.19921875" style="1" hidden="1" customWidth="1"/>
    <col min="6" max="8" width="9.06640625" style="1" hidden="1" customWidth="1"/>
    <col min="9" max="9" width="0" style="1" hidden="1" customWidth="1"/>
    <col min="10" max="10" width="5.53125" style="1" customWidth="1"/>
    <col min="11" max="11" width="19.53125" style="1" customWidth="1"/>
    <col min="12" max="12" width="10" style="2" customWidth="1"/>
    <col min="13" max="13" width="9.06640625" style="2" customWidth="1"/>
    <col min="14" max="14" width="9.265625" style="1" bestFit="1" customWidth="1"/>
    <col min="15" max="21" width="12.73046875" style="1" customWidth="1"/>
    <col min="22" max="22" width="3.33203125" style="2" customWidth="1"/>
    <col min="23" max="23" width="22.6640625" style="1" customWidth="1"/>
    <col min="24" max="24" width="7.19921875" style="1" customWidth="1"/>
    <col min="25" max="25" width="10.53125" style="1" customWidth="1"/>
    <col min="26" max="26" width="10.265625" style="1" bestFit="1" customWidth="1"/>
    <col min="27" max="27" width="11.73046875" style="1" customWidth="1"/>
    <col min="28" max="28" width="9.86328125" style="1" customWidth="1"/>
    <col min="29" max="29" width="9.19921875" style="1" customWidth="1"/>
    <col min="30" max="30" width="10.3984375" style="1" customWidth="1"/>
    <col min="31" max="31" width="11.06640625" style="1" customWidth="1"/>
    <col min="32" max="32" width="8.59765625" style="1" customWidth="1"/>
    <col min="33" max="34" width="12.73046875" style="1" customWidth="1"/>
    <col min="35" max="35" width="11.46484375" style="1" customWidth="1"/>
    <col min="36" max="36" width="12.46484375" style="1" customWidth="1"/>
    <col min="37" max="37" width="3.73046875" style="1" customWidth="1"/>
    <col min="38" max="38" width="17.73046875" style="1" customWidth="1"/>
    <col min="39" max="40" width="20.6640625" style="1" customWidth="1"/>
    <col min="41" max="42" width="16" style="1" customWidth="1"/>
    <col min="43" max="43" width="17" style="1" customWidth="1"/>
    <col min="44" max="44" width="3.3984375" style="1" customWidth="1"/>
    <col min="45" max="45" width="22.1328125" style="2" customWidth="1"/>
    <col min="46" max="47" width="17.59765625" style="2" customWidth="1"/>
    <col min="48" max="48" width="22.19921875" style="2" customWidth="1"/>
    <col min="49" max="49" width="23.33203125" style="2" customWidth="1"/>
    <col min="50" max="50" width="9.06640625" style="1"/>
    <col min="51" max="51" width="23.265625" style="1" customWidth="1"/>
    <col min="52" max="52" width="102.796875" style="1" customWidth="1"/>
    <col min="53" max="53" width="36.19921875" style="1" customWidth="1"/>
    <col min="54" max="54" width="84.19921875" style="1" customWidth="1"/>
    <col min="55" max="16384" width="9.06640625" style="1"/>
  </cols>
  <sheetData>
    <row r="2" spans="10:49" ht="42.75" x14ac:dyDescent="0.45">
      <c r="K2" s="7" t="s">
        <v>21</v>
      </c>
      <c r="L2" s="8" t="s">
        <v>22</v>
      </c>
    </row>
    <row r="3" spans="10:49" x14ac:dyDescent="0.45">
      <c r="Q3" s="12"/>
      <c r="R3" s="12"/>
    </row>
    <row r="4" spans="10:49" x14ac:dyDescent="0.45">
      <c r="K4" s="4"/>
      <c r="W4" s="4"/>
      <c r="AL4" s="4"/>
      <c r="AS4" s="4"/>
    </row>
    <row r="5" spans="10:49" ht="18" x14ac:dyDescent="0.55000000000000004">
      <c r="K5" s="4"/>
      <c r="L5" s="22"/>
      <c r="M5" s="21"/>
      <c r="N5" s="22"/>
      <c r="O5" s="22"/>
      <c r="P5" s="22"/>
      <c r="Q5" s="22"/>
      <c r="R5" s="22"/>
      <c r="S5" s="22"/>
      <c r="T5" s="22"/>
      <c r="U5" s="22"/>
      <c r="V5" s="21"/>
      <c r="W5" s="4"/>
      <c r="X5" s="22"/>
      <c r="Y5" s="22"/>
      <c r="Z5" s="22"/>
      <c r="AA5" s="22"/>
      <c r="AB5" s="22"/>
      <c r="AC5" s="22"/>
      <c r="AD5" s="22"/>
      <c r="AE5" s="22"/>
      <c r="AF5" s="22"/>
      <c r="AG5" s="22"/>
      <c r="AH5" s="22"/>
      <c r="AI5" s="22"/>
      <c r="AJ5" s="22"/>
      <c r="AK5" s="22"/>
      <c r="AL5" s="4"/>
      <c r="AM5" s="22"/>
      <c r="AN5" s="22"/>
      <c r="AO5" s="22"/>
      <c r="AP5" s="22"/>
      <c r="AQ5" s="22"/>
      <c r="AS5" s="4"/>
    </row>
    <row r="6" spans="10:49" ht="18" customHeight="1" x14ac:dyDescent="0.55000000000000004">
      <c r="K6" s="26" t="s">
        <v>42</v>
      </c>
      <c r="L6" s="36" t="s">
        <v>43</v>
      </c>
      <c r="M6" s="37"/>
      <c r="N6" s="37"/>
      <c r="O6" s="37"/>
      <c r="P6" s="37"/>
      <c r="Q6" s="36" t="s">
        <v>45</v>
      </c>
      <c r="R6" s="37"/>
      <c r="S6" s="37"/>
      <c r="T6" s="37"/>
      <c r="U6" s="37"/>
      <c r="V6" s="21"/>
      <c r="W6" s="26" t="s">
        <v>42</v>
      </c>
      <c r="X6" s="36" t="s">
        <v>43</v>
      </c>
      <c r="Y6" s="37"/>
      <c r="Z6" s="37"/>
      <c r="AA6" s="37"/>
      <c r="AB6" s="37"/>
      <c r="AC6" s="37"/>
      <c r="AD6" s="37"/>
      <c r="AE6" s="36" t="s">
        <v>45</v>
      </c>
      <c r="AF6" s="37"/>
      <c r="AG6" s="37"/>
      <c r="AH6" s="37"/>
      <c r="AI6" s="37"/>
      <c r="AJ6" s="37"/>
      <c r="AK6" s="22"/>
      <c r="AL6" s="26" t="s">
        <v>42</v>
      </c>
      <c r="AM6" s="36" t="s">
        <v>48</v>
      </c>
      <c r="AN6" s="37"/>
      <c r="AO6" s="36" t="s">
        <v>45</v>
      </c>
      <c r="AP6" s="37"/>
      <c r="AQ6" s="37"/>
      <c r="AS6" s="26" t="s">
        <v>42</v>
      </c>
      <c r="AT6" s="36" t="s">
        <v>48</v>
      </c>
      <c r="AU6" s="37"/>
      <c r="AV6" s="36" t="s">
        <v>45</v>
      </c>
      <c r="AW6" s="37"/>
    </row>
    <row r="7" spans="10:49" s="4" customFormat="1" ht="42.75" customHeight="1" x14ac:dyDescent="0.45">
      <c r="K7" s="20" t="s">
        <v>86</v>
      </c>
      <c r="L7" s="38" t="str" cm="1">
        <f t="array" ref="L7">_xll.Domino.Agent.Narrate(K7, K13:U41)</f>
        <v>The discount factors for different tenors are generally decreasing as tenor increases, with some minor fluctuations around 0.8 for longer tenors. The risk-free rates show a slight upward trend from 0.035% to 0.0455%. The AAA spreads are consistently low, indicating minimal credit risk, while the BB and B spreads increase significantly with longer tenors.</v>
      </c>
      <c r="M7" s="38"/>
      <c r="N7" s="38"/>
      <c r="O7" s="38"/>
      <c r="P7" s="38"/>
      <c r="Q7" s="38" t="str" cm="1">
        <f t="array" ref="Q7">_xll.Domino.Agent.ResearchAnalyst(K7, K13:U41)</f>
        <v>Stable credit environment with low default risk; minor short-term rate decline; increasing credit risk with longer maturities; AAA spreads consistently lower; overall credit spreads trend upward.</v>
      </c>
      <c r="R7" s="38"/>
      <c r="S7" s="38"/>
      <c r="T7" s="38"/>
      <c r="U7" s="38"/>
      <c r="V7" s="23"/>
      <c r="W7" s="20" t="s">
        <v>44</v>
      </c>
      <c r="X7" s="38" t="str" cm="1">
        <f t="array" ref="X7">_xll.Domino.Agent.Narrate(W7,W13:AJ53)</f>
        <v>The data shows loans with various characteristics such as loan purposes, credit scores, debt-to-income ratios, loan-to-value ratios, and delinquencies. Loan ID L001 has a high debt-to-income ratio (0.31) and a low credit score (667), while L036 has an exceptionally high delinquency rate at 93%.</v>
      </c>
      <c r="Y7" s="38"/>
      <c r="Z7" s="38"/>
      <c r="AA7" s="38"/>
      <c r="AB7" s="38"/>
      <c r="AC7" s="38"/>
      <c r="AD7" s="38"/>
      <c r="AE7" s="38" t="str" cm="1">
        <f t="array" ref="AE7">_xll.Domino.Agent.ResearchAnalyst(W7,W13:AJ53)</f>
        <v>Loan ID L006 and L036 highlight key risks; shorter term loans near maturity also pose significant default risks requiring proactive management.</v>
      </c>
      <c r="AF7" s="38"/>
      <c r="AG7" s="38"/>
      <c r="AH7" s="38"/>
      <c r="AI7" s="38"/>
      <c r="AJ7" s="38"/>
      <c r="AK7" s="24"/>
      <c r="AL7" s="20" t="s">
        <v>46</v>
      </c>
      <c r="AM7" s="38" t="str" cm="1">
        <f t="array" ref="AM7">_xll.Domino.Agent.Analyze(AL7,AL13:AQ53)</f>
        <v>Highly concentrated probabilities near 1 indicating significant risk, especially for shorter maturities.</v>
      </c>
      <c r="AN7" s="38"/>
      <c r="AO7" s="38" t="str" cm="1">
        <f t="array" ref="AO7">_xll.Domino.Agent.ResearchAnalyst(AL7,AL13:AQ53)</f>
        <v>Probability of default increases significantly over time, especially near maturity, with high variability across sectors, highlighting the importance of close risk management.</v>
      </c>
      <c r="AP7" s="38"/>
      <c r="AQ7" s="38"/>
      <c r="AS7" s="20" t="s">
        <v>47</v>
      </c>
      <c r="AT7" s="38" t="str" cm="1">
        <f t="array" ref="AT7">_xll.Domino.Agent.Analyze(AS7,AS13:AW53)</f>
        <v>Hidden correlation: BB-rated entities have a higher expected loss (undiscounted) compared to other ratings, suggesting they carry greater risk.</v>
      </c>
      <c r="AU7" s="38"/>
      <c r="AV7" s="38" t="s">
        <v>87</v>
      </c>
      <c r="AW7" s="38"/>
    </row>
    <row r="8" spans="10:49" ht="18" x14ac:dyDescent="0.55000000000000004">
      <c r="L8" s="25"/>
      <c r="AS8" s="1"/>
    </row>
    <row r="10" spans="10:49" ht="21" x14ac:dyDescent="0.65">
      <c r="J10" s="2"/>
      <c r="K10" s="3" t="s">
        <v>31</v>
      </c>
      <c r="N10" s="2"/>
      <c r="O10" s="2"/>
      <c r="P10" s="2"/>
      <c r="Q10" s="2"/>
      <c r="R10" s="2"/>
      <c r="S10" s="2"/>
      <c r="T10" s="2"/>
      <c r="U10" s="2"/>
      <c r="W10" s="3" t="s">
        <v>30</v>
      </c>
      <c r="X10" s="2"/>
      <c r="Y10" s="2"/>
      <c r="AH10" s="2"/>
      <c r="AL10" s="3" t="s">
        <v>29</v>
      </c>
      <c r="AM10" s="2"/>
      <c r="AS10" s="3" t="s">
        <v>28</v>
      </c>
    </row>
    <row r="11" spans="10:49" ht="14.25" customHeight="1" x14ac:dyDescent="0.45">
      <c r="J11" s="5"/>
      <c r="K11" s="4" t="str">
        <f ca="1">_xlfn.FORMULATEXT(L14)</f>
        <v>=Domino.MLModel.GetCreditCurves(K14)</v>
      </c>
      <c r="L11" s="5"/>
      <c r="M11" s="5"/>
      <c r="N11" s="5"/>
      <c r="O11" s="5"/>
      <c r="P11" s="5"/>
      <c r="Q11" s="5"/>
      <c r="R11" s="5"/>
      <c r="S11" s="5"/>
      <c r="T11" s="5"/>
      <c r="U11" s="5"/>
      <c r="W11" s="4" t="str">
        <f ca="1">_xlfn.FORMULATEXT(X14)</f>
        <v>=Domino.MLModel.GetLoanInventory(W14, 40)</v>
      </c>
      <c r="X11" s="5"/>
      <c r="Y11" s="5"/>
      <c r="Z11" s="4"/>
      <c r="AA11" s="4"/>
      <c r="AB11" s="4"/>
      <c r="AC11" s="4"/>
      <c r="AD11" s="4"/>
      <c r="AE11" s="4"/>
      <c r="AF11" s="4"/>
      <c r="AG11" s="4"/>
      <c r="AH11" s="5"/>
      <c r="AI11" s="4"/>
      <c r="AJ11" s="4"/>
      <c r="AL11" s="4" t="str">
        <f ca="1">_xlfn.FORMULATEXT(AL14)</f>
        <v>=Domino.MLModel.GetLoanProbabilityOfDefault($Z14,$AA14,$AB14,$AC14,$AD14,$AF14,$AG14,$AH14,$Y14,1)</v>
      </c>
      <c r="AM11" s="5"/>
      <c r="AS11" s="4" t="str">
        <f ca="1">_xlfn.FORMULATEXT(AS14)</f>
        <v>=Domino.MLModel.GetExpectedLoss(AL14,AQ14,AB14,AE14,AJ14,$M$14:$M$20,$O$14:$O$20)</v>
      </c>
    </row>
    <row r="12" spans="10:49" ht="14.25" customHeight="1" x14ac:dyDescent="0.45">
      <c r="J12" s="9"/>
      <c r="K12" s="10"/>
      <c r="L12" s="9"/>
      <c r="M12" s="9"/>
      <c r="N12" s="9"/>
      <c r="O12" s="9"/>
      <c r="P12" s="9"/>
      <c r="Q12" s="9"/>
      <c r="R12" s="9"/>
      <c r="S12" s="9"/>
      <c r="T12" s="9"/>
      <c r="U12" s="9"/>
      <c r="W12" s="10"/>
      <c r="X12" s="9"/>
      <c r="Y12" s="9"/>
      <c r="Z12" s="10"/>
      <c r="AA12" s="10"/>
      <c r="AB12" s="10"/>
      <c r="AC12" s="10"/>
      <c r="AD12" s="10"/>
      <c r="AE12" s="10"/>
      <c r="AF12" s="10"/>
      <c r="AG12" s="10"/>
      <c r="AH12" s="9"/>
      <c r="AI12" s="10"/>
      <c r="AJ12" s="10"/>
      <c r="AL12" s="10"/>
      <c r="AM12" s="9"/>
    </row>
    <row r="13" spans="10:49" ht="43.25" customHeight="1" x14ac:dyDescent="0.45">
      <c r="J13" s="6"/>
      <c r="K13" s="7" t="s">
        <v>0</v>
      </c>
      <c r="L13" s="8" t="s">
        <v>9</v>
      </c>
      <c r="M13" s="8" t="s">
        <v>10</v>
      </c>
      <c r="N13" s="8" t="s">
        <v>11</v>
      </c>
      <c r="O13" s="8" t="s">
        <v>20</v>
      </c>
      <c r="P13" s="8" t="s">
        <v>12</v>
      </c>
      <c r="Q13" s="8" t="s">
        <v>13</v>
      </c>
      <c r="R13" s="8" t="s">
        <v>14</v>
      </c>
      <c r="S13" s="8" t="s">
        <v>15</v>
      </c>
      <c r="T13" s="8" t="s">
        <v>16</v>
      </c>
      <c r="U13" s="8" t="s">
        <v>18</v>
      </c>
      <c r="W13" s="7" t="s">
        <v>17</v>
      </c>
      <c r="X13" s="8" t="s">
        <v>1</v>
      </c>
      <c r="Y13" s="8" t="s">
        <v>3</v>
      </c>
      <c r="Z13" s="8" t="s">
        <v>4</v>
      </c>
      <c r="AA13" s="8" t="s">
        <v>5</v>
      </c>
      <c r="AB13" s="8" t="s">
        <v>6</v>
      </c>
      <c r="AC13" s="8" t="s">
        <v>35</v>
      </c>
      <c r="AD13" s="8" t="s">
        <v>8</v>
      </c>
      <c r="AE13" s="8" t="s">
        <v>19</v>
      </c>
      <c r="AF13" s="8" t="s">
        <v>2</v>
      </c>
      <c r="AG13" s="8" t="s">
        <v>34</v>
      </c>
      <c r="AH13" s="8" t="s">
        <v>7</v>
      </c>
      <c r="AI13" s="8" t="s">
        <v>33</v>
      </c>
      <c r="AJ13" s="8" t="s">
        <v>32</v>
      </c>
      <c r="AL13" s="8" t="s">
        <v>36</v>
      </c>
      <c r="AM13" s="8" t="s">
        <v>37</v>
      </c>
      <c r="AN13" s="8" t="s">
        <v>40</v>
      </c>
      <c r="AO13" s="8" t="s">
        <v>39</v>
      </c>
      <c r="AP13" s="8" t="s">
        <v>38</v>
      </c>
      <c r="AQ13" s="8" t="s">
        <v>41</v>
      </c>
      <c r="AS13" s="8" t="s">
        <v>23</v>
      </c>
      <c r="AT13" s="8" t="s">
        <v>26</v>
      </c>
      <c r="AU13" s="8" t="s">
        <v>24</v>
      </c>
      <c r="AV13" s="8" t="s">
        <v>25</v>
      </c>
      <c r="AW13" s="8" t="s">
        <v>27</v>
      </c>
    </row>
    <row r="14" spans="10:49" ht="18" customHeight="1" x14ac:dyDescent="0.45">
      <c r="K14" s="12">
        <v>45293</v>
      </c>
      <c r="L14" s="2" t="str" cm="1">
        <f t="array" ref="L14:U20">_xll.Domino.MLModel.GetCreditCurves(K14)</f>
        <v>3M</v>
      </c>
      <c r="M14" s="16">
        <v>0.25</v>
      </c>
      <c r="N14" s="15">
        <v>0.99066900000000002</v>
      </c>
      <c r="O14" s="14">
        <v>3.7499999999999999E-2</v>
      </c>
      <c r="P14" s="14">
        <v>4.3750000000000004E-3</v>
      </c>
      <c r="Q14" s="14">
        <v>9.1000000000000004E-3</v>
      </c>
      <c r="R14" s="14">
        <v>1.2749999999999999E-2</v>
      </c>
      <c r="S14" s="14">
        <v>1.9125E-2</v>
      </c>
      <c r="T14" s="14">
        <v>3.5000000000000003E-2</v>
      </c>
      <c r="U14" s="14">
        <v>5.6050000000000003E-2</v>
      </c>
      <c r="W14" s="12">
        <f>K14</f>
        <v>45293</v>
      </c>
      <c r="X14" s="2" t="str" cm="1">
        <f t="array" ref="X14:AJ53">_xll.Domino.MLModel.GetLoanInventory(W14, 40)</f>
        <v>L001</v>
      </c>
      <c r="Y14" s="2" t="str">
        <v>purchase</v>
      </c>
      <c r="Z14" s="1">
        <v>667</v>
      </c>
      <c r="AA14" s="1">
        <v>0.31</v>
      </c>
      <c r="AB14" s="1">
        <v>0.83</v>
      </c>
      <c r="AC14" s="13">
        <v>49</v>
      </c>
      <c r="AD14" s="13">
        <v>320000</v>
      </c>
      <c r="AE14" s="13">
        <v>302660.57</v>
      </c>
      <c r="AF14" s="17">
        <v>6.0999999999999999E-2</v>
      </c>
      <c r="AG14" s="1">
        <v>3</v>
      </c>
      <c r="AH14" s="2">
        <v>0</v>
      </c>
      <c r="AI14" s="1">
        <v>30</v>
      </c>
      <c r="AJ14" s="1">
        <v>25</v>
      </c>
      <c r="AL14" s="17" cm="1">
        <f t="array" ref="AL14">_xll.Domino.MLModel.GetLoanProbabilityOfDefault($Z14,$AA14,$AB14,$AC14,$AD14,$AF14,$AG14,$AH14,$Y14,1)</f>
        <v>1.2525200843811035E-2</v>
      </c>
      <c r="AM14" s="17" cm="1">
        <f t="array" ref="AM14">_xll.Domino.MLModel.GetLoanProbabilityOfDefault($Z14,$AA14,$AB14,$AC14,$AD14,$AF14,$AG14,$AH14,$Y14,2)</f>
        <v>2.4893521031444266E-2</v>
      </c>
      <c r="AN14" s="17" cm="1">
        <f t="array" ref="AN14">_xll.Domino.MLModel.GetLoanProbabilityOfDefault($Z14,$AA14,$AB14,$AC14,$AD14,$AF14,$AG14,$AH14,$Y14,5)</f>
        <v>6.1076724525111592E-2</v>
      </c>
      <c r="AO14" s="17" cm="1">
        <f t="array" ref="AO14">_xll.Domino.MLModel.GetLoanProbabilityOfDefault($Z14,$AA14,$AB14,$AC14,$AD14,$AF14,$AG14,$AH14,$Y14,10)</f>
        <v>0.11842308277150682</v>
      </c>
      <c r="AP14" s="17" cm="1">
        <f t="array" ref="AP14">_xll.Domino.MLModel.GetLoanProbabilityOfDefault($Z14,$AA14,$AB14,$AC14,$AD14,$AF14,$AG14,$AH14,$Y14,30)</f>
        <v>0.31485793717011878</v>
      </c>
      <c r="AQ14" s="17" cm="1">
        <f t="array" ref="AQ14">_xll.Domino.MLModel.GetLoanProbabilityOfDefault($Z14,$AA14,$AB14,$AC14,$AD14,$AF14,$AG14,$AH14,$Y14,AJ14)</f>
        <v>0.27028961713261368</v>
      </c>
      <c r="AS14" s="2" t="str" cm="1">
        <f t="array" ref="AS14:AW14">_xll.Domino.MLModel.GetExpectedLoss(AL14,AQ14,AB14,AE14,AJ14,$M$14:$M$20,$O$14:$O$20)</f>
        <v>BB</v>
      </c>
      <c r="AT14" s="19">
        <v>0.23</v>
      </c>
      <c r="AU14" s="18">
        <v>18815.382204880905</v>
      </c>
      <c r="AV14" s="18">
        <v>1177.53672770404</v>
      </c>
      <c r="AW14" s="18">
        <v>151330.285</v>
      </c>
    </row>
    <row r="15" spans="10:49" x14ac:dyDescent="0.45">
      <c r="L15" s="2" t="str">
        <v>1Y</v>
      </c>
      <c r="M15" s="16">
        <v>1</v>
      </c>
      <c r="N15" s="15">
        <v>0.96492999999999995</v>
      </c>
      <c r="O15" s="14">
        <v>3.5700000000000003E-2</v>
      </c>
      <c r="P15" s="14">
        <v>4.5999999999999999E-3</v>
      </c>
      <c r="Q15" s="14">
        <v>9.4000000000000004E-3</v>
      </c>
      <c r="R15" s="14">
        <v>1.32E-2</v>
      </c>
      <c r="S15" s="14">
        <v>1.9800000000000002E-2</v>
      </c>
      <c r="T15" s="14">
        <v>3.5900000000000001E-2</v>
      </c>
      <c r="U15" s="14">
        <v>5.74E-2</v>
      </c>
      <c r="X15" s="2" t="str">
        <v>L002</v>
      </c>
      <c r="Y15" s="2" t="str">
        <v>purchase</v>
      </c>
      <c r="Z15" s="1">
        <v>661</v>
      </c>
      <c r="AA15" s="1">
        <v>0.35</v>
      </c>
      <c r="AB15" s="1">
        <v>0.79</v>
      </c>
      <c r="AC15" s="13">
        <v>39</v>
      </c>
      <c r="AD15" s="13">
        <v>500000</v>
      </c>
      <c r="AE15" s="13">
        <v>456766.92</v>
      </c>
      <c r="AF15" s="17">
        <v>6.7000000000000004E-2</v>
      </c>
      <c r="AG15" s="1">
        <v>9</v>
      </c>
      <c r="AH15" s="2">
        <v>0</v>
      </c>
      <c r="AI15" s="1">
        <v>20</v>
      </c>
      <c r="AJ15" s="1">
        <v>16</v>
      </c>
      <c r="AL15" s="17" cm="1">
        <f t="array" ref="AL15">_xll.Domino.MLModel.GetLoanProbabilityOfDefault($Z15,$AA15,$AB15,$AC15,$AD15,$AF15,$AG15,$AH15,$Y15,1)</f>
        <v>2.0979046821594238E-3</v>
      </c>
      <c r="AM15" s="17" cm="1">
        <f t="array" ref="AM15">_xll.Domino.MLModel.GetLoanProbabilityOfDefault($Z15,$AA15,$AB15,$AC15,$AD15,$AF15,$AG15,$AH15,$Y15,2)</f>
        <v>4.1914081602634212E-3</v>
      </c>
      <c r="AN15" s="17" cm="1">
        <f t="array" ref="AN15">_xll.Domino.MLModel.GetLoanProbabilityOfDefault($Z15,$AA15,$AB15,$AC15,$AD15,$AF15,$AG15,$AH15,$Y15,5)</f>
        <v>1.0445603606496379E-2</v>
      </c>
      <c r="AO15" s="17" cm="1">
        <f t="array" ref="AO15">_xll.Domino.MLModel.GetLoanProbabilityOfDefault($Z15,$AA15,$AB15,$AC15,$AD15,$AF15,$AG15,$AH15,$Y15,10)</f>
        <v>2.0782096578288778E-2</v>
      </c>
      <c r="AP15" s="17" cm="1">
        <f t="array" ref="AP15">_xll.Domino.MLModel.GetLoanProbabilityOfDefault($Z15,$AA15,$AB15,$AC15,$AD15,$AF15,$AG15,$AH15,$Y15,30)</f>
        <v>6.1059578815085058E-2</v>
      </c>
      <c r="AQ15" s="17" cm="1">
        <f t="array" ref="AQ15">_xll.Domino.MLModel.GetLoanProbabilityOfDefault($Z15,$AA15,$AB15,$AC15,$AD15,$AF15,$AG15,$AH15,$Y15,AJ15)</f>
        <v>3.3043466001930644E-2</v>
      </c>
      <c r="AS15" s="2" t="str" cm="1">
        <f t="array" ref="AS15:AW15">_xll.Domino.MLModel.GetExpectedLoss(AL15,AQ15,AB15,AE15,AJ15,$M$14:$M$20,$O$14:$O$20)</f>
        <v>BBB</v>
      </c>
      <c r="AT15" s="19">
        <v>0.19</v>
      </c>
      <c r="AU15" s="18">
        <v>2867.7008164470462</v>
      </c>
      <c r="AV15" s="18">
        <v>858.49931157319429</v>
      </c>
      <c r="AW15" s="18">
        <v>159868.42199999999</v>
      </c>
    </row>
    <row r="16" spans="10:49" x14ac:dyDescent="0.45">
      <c r="L16" s="2" t="str">
        <v>2Y</v>
      </c>
      <c r="M16" s="16">
        <v>2</v>
      </c>
      <c r="N16" s="15">
        <v>0.93108900000000006</v>
      </c>
      <c r="O16" s="14">
        <v>3.5700000000000003E-2</v>
      </c>
      <c r="P16" s="14">
        <v>4.8999999999999998E-3</v>
      </c>
      <c r="Q16" s="14">
        <v>9.7999999999999997E-3</v>
      </c>
      <c r="R16" s="14">
        <v>1.38E-2</v>
      </c>
      <c r="S16" s="14">
        <v>2.07E-2</v>
      </c>
      <c r="T16" s="14">
        <v>3.7100000000000001E-2</v>
      </c>
      <c r="U16" s="14">
        <v>5.9200000000000003E-2</v>
      </c>
      <c r="X16" s="2" t="str">
        <v>L003</v>
      </c>
      <c r="Y16" s="2" t="str">
        <v>purchase</v>
      </c>
      <c r="Z16" s="1">
        <v>682</v>
      </c>
      <c r="AA16" s="1">
        <v>0.4</v>
      </c>
      <c r="AB16" s="1">
        <v>0.85</v>
      </c>
      <c r="AC16" s="13">
        <v>51</v>
      </c>
      <c r="AD16" s="13">
        <v>420000</v>
      </c>
      <c r="AE16" s="13">
        <v>392313.37</v>
      </c>
      <c r="AF16" s="17">
        <v>5.1999999999999998E-2</v>
      </c>
      <c r="AG16" s="1">
        <v>2</v>
      </c>
      <c r="AH16" s="2">
        <v>0</v>
      </c>
      <c r="AI16" s="1">
        <v>30</v>
      </c>
      <c r="AJ16" s="1">
        <v>25</v>
      </c>
      <c r="AL16" s="17" cm="1">
        <f t="array" ref="AL16">_xll.Domino.MLModel.GetLoanProbabilityOfDefault($Z16,$AA16,$AB16,$AC16,$AD16,$AF16,$AG16,$AH16,$Y16,1)</f>
        <v>2.3311078548431396E-2</v>
      </c>
      <c r="AM16" s="17" cm="1">
        <f t="array" ref="AM16">_xll.Domino.MLModel.GetLoanProbabilityOfDefault($Z16,$AA16,$AB16,$AC16,$AD16,$AF16,$AG16,$AH16,$Y16,2)</f>
        <v>4.6078750713771655E-2</v>
      </c>
      <c r="AN16" s="17" cm="1">
        <f t="array" ref="AN16">_xll.Domino.MLModel.GetLoanProbabilityOfDefault($Z16,$AA16,$AB16,$AC16,$AD16,$AF16,$AG16,$AH16,$Y16,5)</f>
        <v>0.11124653323109923</v>
      </c>
      <c r="AO16" s="17" cm="1">
        <f t="array" ref="AO16">_xll.Domino.MLModel.GetLoanProbabilityOfDefault($Z16,$AA16,$AB16,$AC16,$AD16,$AF16,$AG16,$AH16,$Y16,10)</f>
        <v>0.21011727530626045</v>
      </c>
      <c r="AP16" s="17" cm="1">
        <f t="array" ref="AP16">_xll.Domino.MLModel.GetLoanProbabilityOfDefault($Z16,$AA16,$AB16,$AC16,$AD16,$AF16,$AG16,$AH16,$Y16,30)</f>
        <v>0.50718054196173523</v>
      </c>
      <c r="AQ16" s="17" cm="1">
        <f t="array" ref="AQ16">_xll.Domino.MLModel.GetLoanProbabilityOfDefault($Z16,$AA16,$AB16,$AC16,$AD16,$AF16,$AG16,$AH16,$Y16,AJ16)</f>
        <v>0.44549363072536885</v>
      </c>
      <c r="AS16" s="2" t="str" cm="1">
        <f t="array" ref="AS16:AW16">_xll.Domino.MLModel.GetExpectedLoss(AL16,AQ16,AB16,AE16,AJ16,$M$14:$M$20,$O$14:$O$20)</f>
        <v>B</v>
      </c>
      <c r="AT16" s="19">
        <v>0.25</v>
      </c>
      <c r="AU16" s="18">
        <v>43693.276895851268</v>
      </c>
      <c r="AV16" s="18">
        <v>1162.9318152536478</v>
      </c>
      <c r="AW16" s="18">
        <v>196156.685</v>
      </c>
    </row>
    <row r="17" spans="4:49" x14ac:dyDescent="0.45">
      <c r="L17" s="2" t="str">
        <v>3Y</v>
      </c>
      <c r="M17" s="16">
        <v>3</v>
      </c>
      <c r="N17" s="15">
        <v>0.89628200000000002</v>
      </c>
      <c r="O17" s="14">
        <v>3.6499999999999998E-2</v>
      </c>
      <c r="P17" s="14">
        <v>5.1999999999999998E-3</v>
      </c>
      <c r="Q17" s="14">
        <v>1.0200000000000001E-2</v>
      </c>
      <c r="R17" s="14">
        <v>1.44E-2</v>
      </c>
      <c r="S17" s="14">
        <v>2.1600000000000001E-2</v>
      </c>
      <c r="T17" s="14">
        <v>3.8300000000000001E-2</v>
      </c>
      <c r="U17" s="14">
        <v>6.0999999999999999E-2</v>
      </c>
      <c r="X17" s="2" t="str">
        <v>L004</v>
      </c>
      <c r="Y17" s="2" t="str">
        <v>purchase</v>
      </c>
      <c r="Z17" s="1">
        <v>712</v>
      </c>
      <c r="AA17" s="1">
        <v>0.42</v>
      </c>
      <c r="AB17" s="1">
        <v>0.8</v>
      </c>
      <c r="AC17" s="13">
        <v>52</v>
      </c>
      <c r="AD17" s="13">
        <v>315000</v>
      </c>
      <c r="AE17" s="13">
        <v>296742.27</v>
      </c>
      <c r="AF17" s="17">
        <v>6.0999999999999999E-2</v>
      </c>
      <c r="AG17" s="1">
        <v>7</v>
      </c>
      <c r="AH17" s="2">
        <v>0</v>
      </c>
      <c r="AI17" s="1">
        <v>30</v>
      </c>
      <c r="AJ17" s="1">
        <v>25</v>
      </c>
      <c r="AL17" s="17" cm="1">
        <f t="array" ref="AL17">_xll.Domino.MLModel.GetLoanProbabilityOfDefault($Z17,$AA17,$AB17,$AC17,$AD17,$AF17,$AG17,$AH17,$Y17,1)</f>
        <v>1.1562347412109375E-2</v>
      </c>
      <c r="AM17" s="17" cm="1">
        <f t="array" ref="AM17">_xll.Domino.MLModel.GetLoanProbabilityOfDefault($Z17,$AA17,$AB17,$AC17,$AD17,$AF17,$AG17,$AH17,$Y17,2)</f>
        <v>2.2991006946540438E-2</v>
      </c>
      <c r="AN17" s="17" cm="1">
        <f t="array" ref="AN17">_xll.Domino.MLModel.GetLoanProbabilityOfDefault($Z17,$AA17,$AB17,$AC17,$AD17,$AF17,$AG17,$AH17,$Y17,5)</f>
        <v>5.649022658503311E-2</v>
      </c>
      <c r="AO17" s="17" cm="1">
        <f t="array" ref="AO17">_xll.Domino.MLModel.GetLoanProbabilityOfDefault($Z17,$AA17,$AB17,$AC17,$AD17,$AF17,$AG17,$AH17,$Y17,10)</f>
        <v>0.1097893074704378</v>
      </c>
      <c r="AP17" s="17" cm="1">
        <f t="array" ref="AP17">_xll.Domino.MLModel.GetLoanProbabilityOfDefault($Z17,$AA17,$AB17,$AC17,$AD17,$AF17,$AG17,$AH17,$Y17,30)</f>
        <v>0.29453021280776515</v>
      </c>
      <c r="AQ17" s="17" cm="1">
        <f t="array" ref="AQ17">_xll.Domino.MLModel.GetLoanProbabilityOfDefault($Z17,$AA17,$AB17,$AC17,$AD17,$AF17,$AG17,$AH17,$Y17,AJ17)</f>
        <v>0.25229201957406666</v>
      </c>
      <c r="AS17" s="2" t="str" cm="1">
        <f t="array" ref="AS17:AW17">_xll.Domino.MLModel.GetExpectedLoss(AL17,AQ17,AB17,AE17,AJ17,$M$14:$M$20,$O$14:$O$20)</f>
        <v>BB</v>
      </c>
      <c r="AT17" s="19">
        <v>0.2</v>
      </c>
      <c r="AU17" s="18">
        <v>14973.141318258622</v>
      </c>
      <c r="AV17" s="18">
        <v>937.07497617447495</v>
      </c>
      <c r="AW17" s="18">
        <v>103859.7945</v>
      </c>
    </row>
    <row r="18" spans="4:49" x14ac:dyDescent="0.45">
      <c r="L18" s="2" t="str">
        <v>5Y</v>
      </c>
      <c r="M18" s="16">
        <v>5</v>
      </c>
      <c r="N18" s="15">
        <v>0.82530700000000001</v>
      </c>
      <c r="O18" s="14">
        <v>3.8399999999999997E-2</v>
      </c>
      <c r="P18" s="14">
        <v>5.7999999999999996E-3</v>
      </c>
      <c r="Q18" s="14">
        <v>1.0999999999999999E-2</v>
      </c>
      <c r="R18" s="14">
        <v>1.5599999999999999E-2</v>
      </c>
      <c r="S18" s="14">
        <v>2.3400000000000001E-2</v>
      </c>
      <c r="T18" s="14">
        <v>4.07E-2</v>
      </c>
      <c r="U18" s="14">
        <v>6.4600000000000005E-2</v>
      </c>
      <c r="X18" s="2" t="str">
        <v>L005</v>
      </c>
      <c r="Y18" s="2" t="str">
        <v>purchase</v>
      </c>
      <c r="Z18" s="1">
        <v>733</v>
      </c>
      <c r="AA18" s="1">
        <v>0.32</v>
      </c>
      <c r="AB18" s="1">
        <v>0.74</v>
      </c>
      <c r="AC18" s="13">
        <v>70</v>
      </c>
      <c r="AD18" s="13">
        <v>335000</v>
      </c>
      <c r="AE18" s="13">
        <v>305760.12</v>
      </c>
      <c r="AF18" s="17">
        <v>5.7000000000000002E-2</v>
      </c>
      <c r="AG18" s="1">
        <v>2</v>
      </c>
      <c r="AH18" s="2">
        <v>0</v>
      </c>
      <c r="AI18" s="1">
        <v>30</v>
      </c>
      <c r="AJ18" s="1">
        <v>24</v>
      </c>
      <c r="AL18" s="17" cm="1">
        <f t="array" ref="AL18">_xll.Domino.MLModel.GetLoanProbabilityOfDefault($Z18,$AA18,$AB18,$AC18,$AD18,$AF18,$AG18,$AH18,$Y18,1)</f>
        <v>5.8357715606689453E-3</v>
      </c>
      <c r="AM18" s="17" cm="1">
        <f t="array" ref="AM18">_xll.Domino.MLModel.GetLoanProbabilityOfDefault($Z18,$AA18,$AB18,$AC18,$AD18,$AF18,$AG18,$AH18,$Y18,2)</f>
        <v>1.1637486891629578E-2</v>
      </c>
      <c r="AN18" s="17" cm="1">
        <f t="array" ref="AN18">_xll.Domino.MLModel.GetLoanProbabilityOfDefault($Z18,$AA18,$AB18,$AC18,$AD18,$AF18,$AG18,$AH18,$Y18,5)</f>
        <v>2.8840277157664129E-2</v>
      </c>
      <c r="AO18" s="17" cm="1">
        <f t="array" ref="AO18">_xll.Domino.MLModel.GetLoanProbabilityOfDefault($Z18,$AA18,$AB18,$AC18,$AD18,$AF18,$AG18,$AH18,$Y18,10)</f>
        <v>5.6848792728797393E-2</v>
      </c>
      <c r="AP18" s="17" cm="1">
        <f t="array" ref="AP18">_xll.Domino.MLModel.GetLoanProbabilityOfDefault($Z18,$AA18,$AB18,$AC18,$AD18,$AF18,$AG18,$AH18,$Y18,30)</f>
        <v>0.16103474557117958</v>
      </c>
      <c r="AQ18" s="17" cm="1">
        <f t="array" ref="AQ18">_xll.Domino.MLModel.GetLoanProbabilityOfDefault($Z18,$AA18,$AB18,$AC18,$AD18,$AF18,$AG18,$AH18,$Y18,AJ18)</f>
        <v>0.13104921480580911</v>
      </c>
      <c r="AS18" s="2" t="str" cm="1">
        <f t="array" ref="AS18:AW18">_xll.Domino.MLModel.GetExpectedLoss(AL18,AQ18,AB18,AE18,AJ18,$M$14:$M$20,$O$14:$O$20)</f>
        <v>BB</v>
      </c>
      <c r="AT18" s="19">
        <v>0.14000000000000001</v>
      </c>
      <c r="AU18" s="18">
        <v>5609.7473102901922</v>
      </c>
      <c r="AV18" s="18">
        <v>404.95702678505899</v>
      </c>
      <c r="AW18" s="18">
        <v>107016.04199999999</v>
      </c>
    </row>
    <row r="19" spans="4:49" x14ac:dyDescent="0.45">
      <c r="L19" s="2" t="str">
        <v>10Y</v>
      </c>
      <c r="M19" s="16">
        <v>10</v>
      </c>
      <c r="N19" s="15">
        <v>0.65115999999999996</v>
      </c>
      <c r="O19" s="14">
        <v>4.2900000000000001E-2</v>
      </c>
      <c r="P19" s="14">
        <v>7.3000000000000001E-3</v>
      </c>
      <c r="Q19" s="14">
        <v>1.2999999999999999E-2</v>
      </c>
      <c r="R19" s="14">
        <v>1.8599999999999998E-2</v>
      </c>
      <c r="S19" s="14">
        <v>2.7900000000000001E-2</v>
      </c>
      <c r="T19" s="14">
        <v>4.6699999999999998E-2</v>
      </c>
      <c r="U19" s="14">
        <v>7.3599999999999999E-2</v>
      </c>
      <c r="X19" s="2" t="str">
        <v>L006</v>
      </c>
      <c r="Y19" s="2" t="str">
        <v>refi</v>
      </c>
      <c r="Z19" s="1">
        <v>727</v>
      </c>
      <c r="AA19" s="1">
        <v>0.25</v>
      </c>
      <c r="AB19" s="1">
        <v>0.93</v>
      </c>
      <c r="AC19" s="13">
        <v>51</v>
      </c>
      <c r="AD19" s="13">
        <v>230000</v>
      </c>
      <c r="AE19" s="13">
        <v>216509.83</v>
      </c>
      <c r="AF19" s="17">
        <v>5.8999999999999997E-2</v>
      </c>
      <c r="AG19" s="1">
        <v>8</v>
      </c>
      <c r="AH19" s="2">
        <v>0</v>
      </c>
      <c r="AI19" s="1">
        <v>30</v>
      </c>
      <c r="AJ19" s="1">
        <v>25</v>
      </c>
      <c r="AL19" s="17" cm="1">
        <f t="array" ref="AL19">_xll.Domino.MLModel.GetLoanProbabilityOfDefault($Z19,$AA19,$AB19,$AC19,$AD19,$AF19,$AG19,$AH19,$Y19,1)</f>
        <v>9.1723799705505371E-3</v>
      </c>
      <c r="AM19" s="17" cm="1">
        <f t="array" ref="AM19">_xll.Domino.MLModel.GetLoanProbabilityOfDefault($Z19,$AA19,$AB19,$AC19,$AD19,$AF19,$AG19,$AH19,$Y19,2)</f>
        <v>1.8260627386776918E-2</v>
      </c>
      <c r="AN19" s="17" cm="1">
        <f t="array" ref="AN19">_xll.Domino.MLModel.GetLoanProbabilityOfDefault($Z19,$AA19,$AB19,$AC19,$AD19,$AF19,$AG19,$AH19,$Y19,5)</f>
        <v>4.5028255940563922E-2</v>
      </c>
      <c r="AO19" s="17" cm="1">
        <f t="array" ref="AO19">_xll.Domino.MLModel.GetLoanProbabilityOfDefault($Z19,$AA19,$AB19,$AC19,$AD19,$AF19,$AG19,$AH19,$Y19,10)</f>
        <v>8.8028968048078915E-2</v>
      </c>
      <c r="AP19" s="17" cm="1">
        <f t="array" ref="AP19">_xll.Domino.MLModel.GetLoanProbabilityOfDefault($Z19,$AA19,$AB19,$AC19,$AD19,$AF19,$AG19,$AH19,$Y19,30)</f>
        <v>0.24152175170465984</v>
      </c>
      <c r="AQ19" s="17" cm="1">
        <f t="array" ref="AQ19">_xll.Domino.MLModel.GetLoanProbabilityOfDefault($Z19,$AA19,$AB19,$AC19,$AD19,$AF19,$AG19,$AH19,$Y19,AJ19)</f>
        <v>0.20575843943699612</v>
      </c>
      <c r="AS19" s="2" t="str" cm="1">
        <f t="array" ref="AS19:AW19">_xll.Domino.MLModel.GetExpectedLoss(AL19,AQ19,AB19,AE19,AJ19,$M$14:$M$20,$O$14:$O$20)</f>
        <v>BB</v>
      </c>
      <c r="AT19" s="19">
        <v>0.33</v>
      </c>
      <c r="AU19" s="18">
        <v>14701.079165377871</v>
      </c>
      <c r="AV19" s="18">
        <v>920.04831289722233</v>
      </c>
      <c r="AW19" s="18">
        <v>162382.3725</v>
      </c>
    </row>
    <row r="20" spans="4:49" x14ac:dyDescent="0.45">
      <c r="L20" s="2" t="str">
        <v>30Y</v>
      </c>
      <c r="M20" s="16">
        <v>30</v>
      </c>
      <c r="N20" s="15">
        <v>0.25538100000000002</v>
      </c>
      <c r="O20" s="14">
        <v>4.5499999999999999E-2</v>
      </c>
      <c r="P20" s="14">
        <v>1.3299999999999999E-2</v>
      </c>
      <c r="Q20" s="14">
        <v>2.1000000000000001E-2</v>
      </c>
      <c r="R20" s="14">
        <v>3.0599999999999999E-2</v>
      </c>
      <c r="S20" s="14">
        <v>4.5900000000000003E-2</v>
      </c>
      <c r="T20" s="14">
        <v>7.0699999999999999E-2</v>
      </c>
      <c r="U20" s="14">
        <v>0.1096</v>
      </c>
      <c r="X20" s="2" t="str">
        <v>L007</v>
      </c>
      <c r="Y20" s="2" t="str">
        <v>purchase</v>
      </c>
      <c r="Z20" s="1">
        <v>675</v>
      </c>
      <c r="AA20" s="1">
        <v>0.42</v>
      </c>
      <c r="AB20" s="1">
        <v>0.88</v>
      </c>
      <c r="AC20" s="13">
        <v>69</v>
      </c>
      <c r="AD20" s="13">
        <v>225000</v>
      </c>
      <c r="AE20" s="13">
        <v>202069.04</v>
      </c>
      <c r="AF20" s="17">
        <v>4.5999999999999999E-2</v>
      </c>
      <c r="AG20" s="1">
        <v>5</v>
      </c>
      <c r="AH20" s="2">
        <v>0</v>
      </c>
      <c r="AI20" s="1">
        <v>30</v>
      </c>
      <c r="AJ20" s="1">
        <v>24</v>
      </c>
      <c r="AL20" s="17" cm="1">
        <f t="array" ref="AL20">_xll.Domino.MLModel.GetLoanProbabilityOfDefault($Z20,$AA20,$AB20,$AC20,$AD20,$AF20,$AG20,$AH20,$Y20,1)</f>
        <v>1.8420934677124023E-2</v>
      </c>
      <c r="AM20" s="17" cm="1">
        <f t="array" ref="AM20">_xll.Domino.MLModel.GetLoanProbabilityOfDefault($Z20,$AA20,$AB20,$AC20,$AD20,$AF20,$AG20,$AH20,$Y20,2)</f>
        <v>3.6502538519869177E-2</v>
      </c>
      <c r="AN20" s="17" cm="1">
        <f t="array" ref="AN20">_xll.Domino.MLModel.GetLoanProbabilityOfDefault($Z20,$AA20,$AB20,$AC20,$AD20,$AF20,$AG20,$AH20,$Y20,5)</f>
        <v>8.8773299347182033E-2</v>
      </c>
      <c r="AO20" s="17" cm="1">
        <f t="array" ref="AO20">_xll.Domino.MLModel.GetLoanProbabilityOfDefault($Z20,$AA20,$AB20,$AC20,$AD20,$AF20,$AG20,$AH20,$Y20,10)</f>
        <v>0.16966590001737969</v>
      </c>
      <c r="AP20" s="17" cm="1">
        <f t="array" ref="AP20">_xll.Domino.MLModel.GetLoanProbabilityOfDefault($Z20,$AA20,$AB20,$AC20,$AD20,$AF20,$AG20,$AH20,$Y20,30)</f>
        <v>0.42752223758785757</v>
      </c>
      <c r="AQ20" s="17" cm="1">
        <f t="array" ref="AQ20">_xll.Domino.MLModel.GetLoanProbabilityOfDefault($Z20,$AA20,$AB20,$AC20,$AD20,$AF20,$AG20,$AH20,$Y20,AJ20)</f>
        <v>0.35996032336325334</v>
      </c>
      <c r="AS20" s="2" t="str" cm="1">
        <f t="array" ref="AS20:AW20">_xll.Domino.MLModel.GetExpectedLoss(AL20,AQ20,AB20,AE20,AJ20,$M$14:$M$20,$O$14:$O$20)</f>
        <v>BB</v>
      </c>
      <c r="AT20" s="19">
        <v>0.28000000000000003</v>
      </c>
      <c r="AU20" s="18">
        <v>20366.314354428592</v>
      </c>
      <c r="AV20" s="18">
        <v>1470.205635182635</v>
      </c>
      <c r="AW20" s="18">
        <v>101034.52</v>
      </c>
    </row>
    <row r="21" spans="4:49" x14ac:dyDescent="0.45">
      <c r="K21" s="12">
        <f>DATE(YEAR(K14),MONTH(K14)-1,DAY(K14))</f>
        <v>45262</v>
      </c>
      <c r="L21" s="2" t="str" cm="1">
        <f t="array" ref="L21:U27">_xll.Domino.MLModel.GetCreditCurves(K21)</f>
        <v>3M</v>
      </c>
      <c r="M21" s="16">
        <v>0.25</v>
      </c>
      <c r="N21" s="15">
        <v>0.99104000000000003</v>
      </c>
      <c r="O21" s="14">
        <v>3.5999999999999997E-2</v>
      </c>
      <c r="P21" s="14">
        <v>5.875E-3</v>
      </c>
      <c r="Q21" s="14">
        <v>8.8000000000000005E-3</v>
      </c>
      <c r="R21" s="14">
        <v>1.235E-2</v>
      </c>
      <c r="S21" s="14">
        <v>1.7225000000000001E-2</v>
      </c>
      <c r="T21" s="14">
        <v>3.56E-2</v>
      </c>
      <c r="U21" s="14">
        <v>5.4550000000000001E-2</v>
      </c>
      <c r="X21" s="2" t="str">
        <v>L008</v>
      </c>
      <c r="Y21" s="2" t="str">
        <v>purchase</v>
      </c>
      <c r="Z21" s="1">
        <v>755</v>
      </c>
      <c r="AA21" s="1">
        <v>0.31</v>
      </c>
      <c r="AB21" s="1">
        <v>0.75</v>
      </c>
      <c r="AC21" s="13">
        <v>64</v>
      </c>
      <c r="AD21" s="13">
        <v>120000</v>
      </c>
      <c r="AE21" s="13">
        <v>102848.91</v>
      </c>
      <c r="AF21" s="17">
        <v>7.3999999999999996E-2</v>
      </c>
      <c r="AG21" s="1">
        <v>1</v>
      </c>
      <c r="AH21" s="2">
        <v>0</v>
      </c>
      <c r="AI21" s="1">
        <v>20</v>
      </c>
      <c r="AJ21" s="1">
        <v>14</v>
      </c>
      <c r="AL21" s="17" cm="1">
        <f t="array" ref="AL21">_xll.Domino.MLModel.GetLoanProbabilityOfDefault($Z21,$AA21,$AB21,$AC21,$AD21,$AF21,$AG21,$AH21,$Y21,1)</f>
        <v>6.8179965019226074E-3</v>
      </c>
      <c r="AM21" s="17" cm="1">
        <f t="array" ref="AM21">_xll.Domino.MLModel.GetLoanProbabilityOfDefault($Z21,$AA21,$AB21,$AC21,$AD21,$AF21,$AG21,$AH21,$Y21,2)</f>
        <v>1.3589507927544986E-2</v>
      </c>
      <c r="AN21" s="17" cm="1">
        <f t="array" ref="AN21">_xll.Domino.MLModel.GetLoanProbabilityOfDefault($Z21,$AA21,$AB21,$AC21,$AD21,$AF21,$AG21,$AH21,$Y21,5)</f>
        <v>3.3628290307907927E-2</v>
      </c>
      <c r="AO21" s="17" cm="1">
        <f t="array" ref="AO21">_xll.Domino.MLModel.GetLoanProbabilityOfDefault($Z21,$AA21,$AB21,$AC21,$AD21,$AF21,$AG21,$AH21,$Y21,10)</f>
        <v>6.6125718706783077E-2</v>
      </c>
      <c r="AP21" s="17" cm="1">
        <f t="array" ref="AP21">_xll.Domino.MLModel.GetLoanProbabilityOfDefault($Z21,$AA21,$AB21,$AC21,$AD21,$AF21,$AG21,$AH21,$Y21,30)</f>
        <v>0.1855484661203588</v>
      </c>
      <c r="AQ21" s="17" cm="1">
        <f t="array" ref="AQ21">_xll.Domino.MLModel.GetLoanProbabilityOfDefault($Z21,$AA21,$AB21,$AC21,$AD21,$AF21,$AG21,$AH21,$Y21,AJ21)</f>
        <v>9.1335039627964076E-2</v>
      </c>
      <c r="AS21" s="2" t="str" cm="1">
        <f t="array" ref="AS21:AW21">_xll.Domino.MLModel.GetExpectedLoss(AL21,AQ21,AB21,AE21,AJ21,$M$14:$M$20,$O$14:$O$20)</f>
        <v>BB</v>
      </c>
      <c r="AT21" s="19">
        <v>0.15</v>
      </c>
      <c r="AU21" s="18">
        <v>1409.0563905814374</v>
      </c>
      <c r="AV21" s="18">
        <v>366.35233446152159</v>
      </c>
      <c r="AW21" s="18">
        <v>35997.118499999997</v>
      </c>
    </row>
    <row r="22" spans="4:49" x14ac:dyDescent="0.45">
      <c r="L22" s="2" t="str">
        <v>1Y</v>
      </c>
      <c r="M22" s="16">
        <v>1</v>
      </c>
      <c r="N22" s="15">
        <v>0.96637799999999996</v>
      </c>
      <c r="O22" s="14">
        <v>3.4200000000000001E-2</v>
      </c>
      <c r="P22" s="14">
        <v>6.1000000000000004E-3</v>
      </c>
      <c r="Q22" s="14">
        <v>9.1000000000000004E-3</v>
      </c>
      <c r="R22" s="14">
        <v>1.2800000000000001E-2</v>
      </c>
      <c r="S22" s="14">
        <v>1.7899999999999999E-2</v>
      </c>
      <c r="T22" s="14">
        <v>3.6499999999999998E-2</v>
      </c>
      <c r="U22" s="14">
        <v>5.5899999999999998E-2</v>
      </c>
      <c r="X22" s="2" t="str">
        <v>L009</v>
      </c>
      <c r="Y22" s="2" t="str">
        <v>refi</v>
      </c>
      <c r="Z22" s="1">
        <v>739</v>
      </c>
      <c r="AA22" s="1">
        <v>0.38</v>
      </c>
      <c r="AB22" s="1">
        <v>0.87</v>
      </c>
      <c r="AC22" s="13">
        <v>14</v>
      </c>
      <c r="AD22" s="13">
        <v>320000</v>
      </c>
      <c r="AE22" s="13">
        <v>311460.75</v>
      </c>
      <c r="AF22" s="17">
        <v>4.2999999999999997E-2</v>
      </c>
      <c r="AG22" s="1">
        <v>7</v>
      </c>
      <c r="AH22" s="2">
        <v>0</v>
      </c>
      <c r="AI22" s="1">
        <v>25</v>
      </c>
      <c r="AJ22" s="1">
        <v>23</v>
      </c>
      <c r="AL22" s="17" cm="1">
        <f t="array" ref="AL22">_xll.Domino.MLModel.GetLoanProbabilityOfDefault($Z22,$AA22,$AB22,$AC22,$AD22,$AF22,$AG22,$AH22,$Y22,1)</f>
        <v>4.0122270584106445E-3</v>
      </c>
      <c r="AM22" s="17" cm="1">
        <f t="array" ref="AM22">_xll.Domino.MLModel.GetLoanProbabilityOfDefault($Z22,$AA22,$AB22,$AC22,$AD22,$AF22,$AG22,$AH22,$Y22,2)</f>
        <v>8.0083561508530465E-3</v>
      </c>
      <c r="AN22" s="17" cm="1">
        <f t="array" ref="AN22">_xll.Domino.MLModel.GetLoanProbabilityOfDefault($Z22,$AA22,$AB22,$AC22,$AD22,$AF22,$AG22,$AH22,$Y22,5)</f>
        <v>1.9900800224634363E-2</v>
      </c>
      <c r="AO22" s="17" cm="1">
        <f t="array" ref="AO22">_xll.Domino.MLModel.GetLoanProbabilityOfDefault($Z22,$AA22,$AB22,$AC22,$AD22,$AF22,$AG22,$AH22,$Y22,10)</f>
        <v>3.9405558599687973E-2</v>
      </c>
      <c r="AP22" s="17" cm="1">
        <f t="array" ref="AP22">_xll.Domino.MLModel.GetLoanProbabilityOfDefault($Z22,$AA22,$AB22,$AC22,$AD22,$AF22,$AG22,$AH22,$Y22,30)</f>
        <v>0.11361947052789956</v>
      </c>
      <c r="AQ22" s="17" cm="1">
        <f t="array" ref="AQ22">_xll.Domino.MLModel.GetLoanProbabilityOfDefault($Z22,$AA22,$AB22,$AC22,$AD22,$AF22,$AG22,$AH22,$Y22,AJ22)</f>
        <v>8.8320563376455108E-2</v>
      </c>
      <c r="AS22" s="2" t="str" cm="1">
        <f t="array" ref="AS22:AW22">_xll.Domino.MLModel.GetExpectedLoss(AL22,AQ22,AB22,AE22,AJ22,$M$14:$M$20,$O$14:$O$20)</f>
        <v>BBB</v>
      </c>
      <c r="AT22" s="19">
        <v>0.27</v>
      </c>
      <c r="AU22" s="18">
        <v>7427.265005606374</v>
      </c>
      <c r="AV22" s="18">
        <v>1111.3635550869942</v>
      </c>
      <c r="AW22" s="18">
        <v>155730.375</v>
      </c>
    </row>
    <row r="23" spans="4:49" x14ac:dyDescent="0.45">
      <c r="L23" s="2" t="str">
        <v>2Y</v>
      </c>
      <c r="M23" s="16">
        <v>2</v>
      </c>
      <c r="N23" s="15">
        <v>0.93388700000000002</v>
      </c>
      <c r="O23" s="14">
        <v>3.4200000000000001E-2</v>
      </c>
      <c r="P23" s="14">
        <v>6.4000000000000003E-3</v>
      </c>
      <c r="Q23" s="14">
        <v>9.4999999999999998E-3</v>
      </c>
      <c r="R23" s="14">
        <v>1.34E-2</v>
      </c>
      <c r="S23" s="14">
        <v>1.8800000000000001E-2</v>
      </c>
      <c r="T23" s="14">
        <v>3.7699999999999997E-2</v>
      </c>
      <c r="U23" s="14">
        <v>5.7700000000000001E-2</v>
      </c>
      <c r="X23" s="2" t="str">
        <v>L010</v>
      </c>
      <c r="Y23" s="2" t="str">
        <v>purchase</v>
      </c>
      <c r="Z23" s="1">
        <v>758</v>
      </c>
      <c r="AA23" s="1">
        <v>0.25</v>
      </c>
      <c r="AB23" s="1">
        <v>0.93</v>
      </c>
      <c r="AC23" s="13">
        <v>67</v>
      </c>
      <c r="AD23" s="13">
        <v>360000</v>
      </c>
      <c r="AE23" s="13">
        <v>294789.13</v>
      </c>
      <c r="AF23" s="17">
        <v>5.3999999999999999E-2</v>
      </c>
      <c r="AG23" s="1">
        <v>12</v>
      </c>
      <c r="AH23" s="2">
        <v>0</v>
      </c>
      <c r="AI23" s="1">
        <v>20</v>
      </c>
      <c r="AJ23" s="1">
        <v>14</v>
      </c>
      <c r="AL23" s="17" cm="1">
        <f t="array" ref="AL23">_xll.Domino.MLModel.GetLoanProbabilityOfDefault($Z23,$AA23,$AB23,$AC23,$AD23,$AF23,$AG23,$AH23,$Y23,1)</f>
        <v>1.2644469738006592E-2</v>
      </c>
      <c r="AM23" s="17" cm="1">
        <f t="array" ref="AM23">_xll.Domino.MLModel.GetLoanProbabilityOfDefault($Z23,$AA23,$AB23,$AC23,$AD23,$AF23,$AG23,$AH23,$Y23,2)</f>
        <v>2.5129056861057819E-2</v>
      </c>
      <c r="AN23" s="17" cm="1">
        <f t="array" ref="AN23">_xll.Domino.MLModel.GetLoanProbabilityOfDefault($Z23,$AA23,$AB23,$AC23,$AD23,$AF23,$AG23,$AH23,$Y23,5)</f>
        <v>6.1643611360314488E-2</v>
      </c>
      <c r="AO23" s="17" cm="1">
        <f t="array" ref="AO23">_xll.Domino.MLModel.GetLoanProbabilityOfDefault($Z23,$AA23,$AB23,$AC23,$AD23,$AF23,$AG23,$AH23,$Y23,10)</f>
        <v>0.11948728789908747</v>
      </c>
      <c r="AP23" s="17" cm="1">
        <f t="array" ref="AP23">_xll.Domino.MLModel.GetLoanProbabilityOfDefault($Z23,$AA23,$AB23,$AC23,$AD23,$AF23,$AG23,$AH23,$Y23,30)</f>
        <v>0.31733617312581774</v>
      </c>
      <c r="AQ23" s="17" cm="1">
        <f t="array" ref="AQ23">_xll.Domino.MLModel.GetLoanProbabilityOfDefault($Z23,$AA23,$AB23,$AC23,$AD23,$AF23,$AG23,$AH23,$Y23,AJ23)</f>
        <v>0.16318417899669113</v>
      </c>
      <c r="AS23" s="2" t="str" cm="1">
        <f t="array" ref="AS23:AW23">_xll.Domino.MLModel.GetExpectedLoss(AL23,AQ23,AB23,AE23,AJ23,$M$14:$M$20,$O$14:$O$20)</f>
        <v>BB</v>
      </c>
      <c r="AT23" s="19">
        <v>0.33</v>
      </c>
      <c r="AU23" s="18">
        <v>15874.624311545611</v>
      </c>
      <c r="AV23" s="18">
        <v>4127.376103687765</v>
      </c>
      <c r="AW23" s="18">
        <v>221091.8475</v>
      </c>
    </row>
    <row r="24" spans="4:49" x14ac:dyDescent="0.45">
      <c r="L24" s="2" t="str">
        <v>3Y</v>
      </c>
      <c r="M24" s="16">
        <v>3</v>
      </c>
      <c r="N24" s="15">
        <v>0.90032500000000004</v>
      </c>
      <c r="O24" s="14">
        <v>3.5000000000000003E-2</v>
      </c>
      <c r="P24" s="14">
        <v>6.7000000000000002E-3</v>
      </c>
      <c r="Q24" s="14">
        <v>9.9000000000000008E-3</v>
      </c>
      <c r="R24" s="14">
        <v>1.4E-2</v>
      </c>
      <c r="S24" s="14">
        <v>1.9699999999999999E-2</v>
      </c>
      <c r="T24" s="14">
        <v>3.8899999999999997E-2</v>
      </c>
      <c r="U24" s="14">
        <v>5.9499999999999997E-2</v>
      </c>
      <c r="X24" s="2" t="str">
        <v>L011</v>
      </c>
      <c r="Y24" s="2" t="str">
        <v>purchase</v>
      </c>
      <c r="Z24" s="1">
        <v>711</v>
      </c>
      <c r="AA24" s="1">
        <v>0.26</v>
      </c>
      <c r="AB24" s="1">
        <v>0.9</v>
      </c>
      <c r="AC24" s="13">
        <v>52</v>
      </c>
      <c r="AD24" s="13">
        <v>300000</v>
      </c>
      <c r="AE24" s="13">
        <v>280767.87</v>
      </c>
      <c r="AF24" s="17">
        <v>5.5E-2</v>
      </c>
      <c r="AG24" s="1">
        <v>1</v>
      </c>
      <c r="AH24" s="2">
        <v>0</v>
      </c>
      <c r="AI24" s="1">
        <v>30</v>
      </c>
      <c r="AJ24" s="1">
        <v>25</v>
      </c>
      <c r="AL24" s="17" cm="1">
        <f t="array" ref="AL24">_xll.Domino.MLModel.GetLoanProbabilityOfDefault($Z24,$AA24,$AB24,$AC24,$AD24,$AF24,$AG24,$AH24,$Y24,1)</f>
        <v>1.5601515769958496E-3</v>
      </c>
      <c r="AM24" s="17" cm="1">
        <f t="array" ref="AM24">_xll.Domino.MLModel.GetLoanProbabilityOfDefault($Z24,$AA24,$AB24,$AC24,$AD24,$AF24,$AG24,$AH24,$Y24,2)</f>
        <v>3.1178690810484966E-3</v>
      </c>
      <c r="AN24" s="17" cm="1">
        <f t="array" ref="AN24">_xll.Domino.MLModel.GetLoanProbabilityOfDefault($Z24,$AA24,$AB24,$AC24,$AD24,$AF24,$AG24,$AH24,$Y24,5)</f>
        <v>7.7764551011603178E-3</v>
      </c>
      <c r="AO24" s="17" cm="1">
        <f t="array" ref="AO24">_xll.Domino.MLModel.GetLoanProbabilityOfDefault($Z24,$AA24,$AB24,$AC24,$AD24,$AF24,$AG24,$AH24,$Y24,10)</f>
        <v>1.5492436948380206E-2</v>
      </c>
      <c r="AP24" s="17" cm="1">
        <f t="array" ref="AP24">_xll.Domino.MLModel.GetLoanProbabilityOfDefault($Z24,$AA24,$AB24,$AC24,$AD24,$AF24,$AG24,$AH24,$Y24,30)</f>
        <v>4.5760982463932121E-2</v>
      </c>
      <c r="AQ24" s="17" cm="1">
        <f t="array" ref="AQ24">_xll.Domino.MLModel.GetLoanProbabilityOfDefault($Z24,$AA24,$AB24,$AC24,$AD24,$AF24,$AG24,$AH24,$Y24,AJ24)</f>
        <v>3.8282227385205259E-2</v>
      </c>
      <c r="AS24" s="2" t="str" cm="1">
        <f t="array" ref="AS24:AW24">_xll.Domino.MLModel.GetExpectedLoss(AL24,AQ24,AB24,AE24,AJ24,$M$14:$M$20,$O$14:$O$20)</f>
        <v>A</v>
      </c>
      <c r="AT24" s="19">
        <v>0.3</v>
      </c>
      <c r="AU24" s="18">
        <v>3224.5258325399286</v>
      </c>
      <c r="AV24" s="18">
        <v>531.01548870383442</v>
      </c>
      <c r="AW24" s="18">
        <v>140383.935</v>
      </c>
    </row>
    <row r="25" spans="4:49" x14ac:dyDescent="0.45">
      <c r="L25" s="2" t="str">
        <v>5Y</v>
      </c>
      <c r="M25" s="16">
        <v>5</v>
      </c>
      <c r="N25" s="15">
        <v>0.83152000000000004</v>
      </c>
      <c r="O25" s="14">
        <v>3.6900000000000002E-2</v>
      </c>
      <c r="P25" s="14">
        <v>7.3000000000000001E-3</v>
      </c>
      <c r="Q25" s="14">
        <v>1.0699999999999999E-2</v>
      </c>
      <c r="R25" s="14">
        <v>1.52E-2</v>
      </c>
      <c r="S25" s="14">
        <v>2.1499999999999998E-2</v>
      </c>
      <c r="T25" s="14">
        <v>4.1300000000000003E-2</v>
      </c>
      <c r="U25" s="14">
        <v>6.3100000000000003E-2</v>
      </c>
      <c r="X25" s="2" t="str">
        <v>L012</v>
      </c>
      <c r="Y25" s="2" t="str">
        <v>refi</v>
      </c>
      <c r="Z25" s="1">
        <v>679</v>
      </c>
      <c r="AA25" s="1">
        <v>0.24</v>
      </c>
      <c r="AB25" s="1">
        <v>0.85</v>
      </c>
      <c r="AC25" s="13">
        <v>13</v>
      </c>
      <c r="AD25" s="13">
        <v>220000</v>
      </c>
      <c r="AE25" s="13">
        <v>216898.12</v>
      </c>
      <c r="AF25" s="17">
        <v>5.7000000000000002E-2</v>
      </c>
      <c r="AG25" s="1">
        <v>5</v>
      </c>
      <c r="AH25" s="2">
        <v>0</v>
      </c>
      <c r="AI25" s="1">
        <v>30</v>
      </c>
      <c r="AJ25" s="1">
        <v>28</v>
      </c>
      <c r="AL25" s="17" cm="1">
        <f t="array" ref="AL25">_xll.Domino.MLModel.GetLoanProbabilityOfDefault($Z25,$AA25,$AB25,$AC25,$AD25,$AF25,$AG25,$AH25,$Y25,1)</f>
        <v>1.943129301071167E-2</v>
      </c>
      <c r="AM25" s="17" cm="1">
        <f t="array" ref="AM25">_xll.Domino.MLModel.GetLoanProbabilityOfDefault($Z25,$AA25,$AB25,$AC25,$AD25,$AF25,$AG25,$AH25,$Y25,2)</f>
        <v>3.8485010873355208E-2</v>
      </c>
      <c r="AN25" s="17" cm="1">
        <f t="array" ref="AN25">_xll.Domino.MLModel.GetLoanProbabilityOfDefault($Z25,$AA25,$AB25,$AC25,$AD25,$AF25,$AG25,$AH25,$Y25,5)</f>
        <v>9.3453371261454921E-2</v>
      </c>
      <c r="AO25" s="17" cm="1">
        <f t="array" ref="AO25">_xll.Domino.MLModel.GetLoanProbabilityOfDefault($Z25,$AA25,$AB25,$AC25,$AD25,$AF25,$AG25,$AH25,$Y25,10)</f>
        <v>0.17817320992277841</v>
      </c>
      <c r="AP25" s="17" cm="1">
        <f t="array" ref="AP25">_xll.Domino.MLModel.GetLoanProbabilityOfDefault($Z25,$AA25,$AB25,$AC25,$AD25,$AF25,$AG25,$AH25,$Y25,30)</f>
        <v>0.444938783541448</v>
      </c>
      <c r="AQ25" s="17" cm="1">
        <f t="array" ref="AQ25">_xll.Domino.MLModel.GetLoanProbabilityOfDefault($Z25,$AA25,$AB25,$AC25,$AD25,$AF25,$AG25,$AH25,$Y25,AJ25)</f>
        <v>0.4227222427778059</v>
      </c>
      <c r="AS25" s="2" t="str" cm="1">
        <f t="array" ref="AS25:AW25">_xll.Domino.MLModel.GetExpectedLoss(AL25,AQ25,AB25,AE25,AJ25,$M$14:$M$20,$O$14:$O$20)</f>
        <v>BB</v>
      </c>
      <c r="AT25" s="19">
        <v>0.25</v>
      </c>
      <c r="AU25" s="18">
        <v>22921.914935172426</v>
      </c>
      <c r="AV25" s="18">
        <v>919.95864320412534</v>
      </c>
      <c r="AW25" s="18">
        <v>108449.06</v>
      </c>
    </row>
    <row r="26" spans="4:49" x14ac:dyDescent="0.45">
      <c r="L26" s="2" t="str">
        <v>10Y</v>
      </c>
      <c r="M26" s="16">
        <v>10</v>
      </c>
      <c r="N26" s="15">
        <v>0.66100099999999995</v>
      </c>
      <c r="O26" s="14">
        <v>4.1399999999999999E-2</v>
      </c>
      <c r="P26" s="14">
        <v>8.8000000000000005E-3</v>
      </c>
      <c r="Q26" s="14">
        <v>1.2699999999999999E-2</v>
      </c>
      <c r="R26" s="14">
        <v>1.8200000000000001E-2</v>
      </c>
      <c r="S26" s="14">
        <v>2.5999999999999999E-2</v>
      </c>
      <c r="T26" s="14">
        <v>4.7300000000000002E-2</v>
      </c>
      <c r="U26" s="14">
        <v>7.2099999999999997E-2</v>
      </c>
      <c r="X26" s="2" t="str">
        <v>L013</v>
      </c>
      <c r="Y26" s="2" t="str">
        <v>purchase</v>
      </c>
      <c r="Z26" s="1">
        <v>690</v>
      </c>
      <c r="AA26" s="1">
        <v>0.25</v>
      </c>
      <c r="AB26" s="1">
        <v>0.89</v>
      </c>
      <c r="AC26" s="13">
        <v>13</v>
      </c>
      <c r="AD26" s="13">
        <v>400000</v>
      </c>
      <c r="AE26" s="13">
        <v>389966</v>
      </c>
      <c r="AF26" s="17">
        <v>4.2000000000000003E-2</v>
      </c>
      <c r="AG26" s="1">
        <v>10</v>
      </c>
      <c r="AH26" s="2">
        <v>0</v>
      </c>
      <c r="AI26" s="1">
        <v>25</v>
      </c>
      <c r="AJ26" s="1">
        <v>23</v>
      </c>
      <c r="AL26" s="17" cm="1">
        <f t="array" ref="AL26">_xll.Domino.MLModel.GetLoanProbabilityOfDefault($Z26,$AA26,$AB26,$AC26,$AD26,$AF26,$AG26,$AH26,$Y26,1)</f>
        <v>2.9231905937193714E-3</v>
      </c>
      <c r="AM26" s="17" cm="1">
        <f t="array" ref="AM26">_xll.Domino.MLModel.GetLoanProbabilityOfDefault($Z26,$AA26,$AB26,$AC26,$AD26,$AF26,$AG26,$AH26,$Y26,2)</f>
        <v>5.8378361441917548E-3</v>
      </c>
      <c r="AN26" s="17" cm="1">
        <f t="array" ref="AN26">_xll.Domino.MLModel.GetLoanProbabilityOfDefault($Z26,$AA26,$AB26,$AC26,$AD26,$AF26,$AG26,$AH26,$Y26,5)</f>
        <v>1.4530751959150323E-2</v>
      </c>
      <c r="AO26" s="17" cm="1">
        <f t="array" ref="AO26">_xll.Domino.MLModel.GetLoanProbabilityOfDefault($Z26,$AA26,$AB26,$AC26,$AD26,$AF26,$AG26,$AH26,$Y26,10)</f>
        <v>2.8850361165802307E-2</v>
      </c>
      <c r="AP26" s="17" cm="1">
        <f t="array" ref="AP26">_xll.Domino.MLModel.GetLoanProbabilityOfDefault($Z26,$AA26,$AB26,$AC26,$AD26,$AF26,$AG26,$AH26,$Y26,30)</f>
        <v>8.4078066885171054E-2</v>
      </c>
      <c r="AQ26" s="17" cm="1">
        <f t="array" ref="AQ26">_xll.Domino.MLModel.GetLoanProbabilityOfDefault($Z26,$AA26,$AB26,$AC26,$AD26,$AF26,$AG26,$AH26,$Y26,AJ26)</f>
        <v>6.5115085698534525E-2</v>
      </c>
      <c r="AS26" s="2" t="str" cm="1">
        <f t="array" ref="AS26:AW26">_xll.Domino.MLModel.GetExpectedLoss(AL26,AQ26,AB26,AE26,AJ26,$M$14:$M$20,$O$14:$O$20)</f>
        <v>BBB</v>
      </c>
      <c r="AT26" s="19">
        <v>0.28999999999999998</v>
      </c>
      <c r="AU26" s="18">
        <v>7363.8741577592646</v>
      </c>
      <c r="AV26" s="18">
        <v>1101.8781956753987</v>
      </c>
      <c r="AW26" s="18">
        <v>194983</v>
      </c>
    </row>
    <row r="27" spans="4:49" x14ac:dyDescent="0.45">
      <c r="L27" s="2" t="str">
        <v>30Y</v>
      </c>
      <c r="M27" s="16">
        <v>30</v>
      </c>
      <c r="N27" s="15">
        <v>0.26713500000000001</v>
      </c>
      <c r="O27" s="14">
        <v>4.3999999999999997E-2</v>
      </c>
      <c r="P27" s="14">
        <v>1.4800000000000001E-2</v>
      </c>
      <c r="Q27" s="14">
        <v>2.07E-2</v>
      </c>
      <c r="R27" s="14">
        <v>3.0200000000000001E-2</v>
      </c>
      <c r="S27" s="14">
        <v>4.3999999999999997E-2</v>
      </c>
      <c r="T27" s="14">
        <v>7.1300000000000002E-2</v>
      </c>
      <c r="U27" s="14">
        <v>0.1081</v>
      </c>
      <c r="X27" s="2" t="str">
        <v>L014</v>
      </c>
      <c r="Y27" s="2" t="str">
        <v>purchase</v>
      </c>
      <c r="Z27" s="1">
        <v>684</v>
      </c>
      <c r="AA27" s="1">
        <v>0.28000000000000003</v>
      </c>
      <c r="AB27" s="1">
        <v>0.9</v>
      </c>
      <c r="AC27" s="13">
        <v>88</v>
      </c>
      <c r="AD27" s="13">
        <v>320000</v>
      </c>
      <c r="AE27" s="13">
        <v>280994.21000000002</v>
      </c>
      <c r="AF27" s="17">
        <v>5.2999999999999999E-2</v>
      </c>
      <c r="AG27" s="1">
        <v>1</v>
      </c>
      <c r="AH27" s="2">
        <v>0</v>
      </c>
      <c r="AI27" s="1">
        <v>30</v>
      </c>
      <c r="AJ27" s="1">
        <v>22</v>
      </c>
      <c r="AL27" s="17" cm="1">
        <f t="array" ref="AL27">_xll.Domino.MLModel.GetLoanProbabilityOfDefault($Z27,$AA27,$AB27,$AC27,$AD27,$AF27,$AG27,$AH27,$Y27,1)</f>
        <v>5.1360130310058594E-3</v>
      </c>
      <c r="AM27" s="17" cm="1">
        <f t="array" ref="AM27">_xll.Domino.MLModel.GetLoanProbabilityOfDefault($Z27,$AA27,$AB27,$AC27,$AD27,$AF27,$AG27,$AH27,$Y27,2)</f>
        <v>1.0245647432157057E-2</v>
      </c>
      <c r="AN27" s="17" cm="1">
        <f t="array" ref="AN27">_xll.Domino.MLModel.GetLoanProbabilityOfDefault($Z27,$AA27,$AB27,$AC27,$AD27,$AF27,$AG27,$AH27,$Y27,5)</f>
        <v>2.5417630190762597E-2</v>
      </c>
      <c r="AO27" s="17" cm="1">
        <f t="array" ref="AO27">_xll.Domino.MLModel.GetLoanProbabilityOfDefault($Z27,$AA27,$AB27,$AC27,$AD27,$AF27,$AG27,$AH27,$Y27,10)</f>
        <v>5.0189204457010916E-2</v>
      </c>
      <c r="AP27" s="17" cm="1">
        <f t="array" ref="AP27">_xll.Domino.MLModel.GetLoanProbabilityOfDefault($Z27,$AA27,$AB27,$AC27,$AD27,$AF27,$AG27,$AH27,$Y27,30)</f>
        <v>0.14313716904889973</v>
      </c>
      <c r="AQ27" s="17" cm="1">
        <f t="array" ref="AQ27">_xll.Domino.MLModel.GetLoanProbabilityOfDefault($Z27,$AA27,$AB27,$AC27,$AD27,$AF27,$AG27,$AH27,$Y27,AJ27)</f>
        <v>0.1071024666521907</v>
      </c>
      <c r="AS27" s="2" t="str" cm="1">
        <f t="array" ref="AS27:AW27">_xll.Domino.MLModel.GetExpectedLoss(AL27,AQ27,AB27,AE27,AJ27,$M$14:$M$20,$O$14:$O$20)</f>
        <v>BB</v>
      </c>
      <c r="AT27" s="19">
        <v>0.3</v>
      </c>
      <c r="AU27" s="18">
        <v>9028.5519017951283</v>
      </c>
      <c r="AV27" s="18">
        <v>860.25363338009038</v>
      </c>
      <c r="AW27" s="18">
        <v>140497.10500000001</v>
      </c>
    </row>
    <row r="28" spans="4:49" x14ac:dyDescent="0.45">
      <c r="K28" s="12">
        <f>DATE(YEAR(K21),MONTH(K21)-1,DAY(K21))</f>
        <v>45232</v>
      </c>
      <c r="L28" s="2" t="str" cm="1">
        <f t="array" ref="L28:U34">_xll.Domino.MLModel.GetCreditCurves(K28)</f>
        <v>3M</v>
      </c>
      <c r="M28" s="16">
        <v>0.25</v>
      </c>
      <c r="N28" s="15">
        <v>0.99126300000000001</v>
      </c>
      <c r="O28" s="14">
        <v>3.5099999999999999E-2</v>
      </c>
      <c r="P28" s="14">
        <v>4.5750000000000001E-3</v>
      </c>
      <c r="Q28" s="14">
        <v>8.3999999999999995E-3</v>
      </c>
      <c r="R28" s="14">
        <v>1.295E-2</v>
      </c>
      <c r="S28" s="14">
        <v>1.8124999999999999E-2</v>
      </c>
      <c r="T28" s="14">
        <v>3.4700000000000002E-2</v>
      </c>
      <c r="U28" s="14">
        <v>5.5849999999999997E-2</v>
      </c>
      <c r="X28" s="2" t="str">
        <v>L015</v>
      </c>
      <c r="Y28" s="2" t="str">
        <v>purchase</v>
      </c>
      <c r="Z28" s="1">
        <v>742</v>
      </c>
      <c r="AA28" s="1">
        <v>0.22</v>
      </c>
      <c r="AB28" s="1">
        <v>0.84</v>
      </c>
      <c r="AC28" s="13">
        <v>13</v>
      </c>
      <c r="AD28" s="13">
        <v>425000</v>
      </c>
      <c r="AE28" s="13">
        <v>416736.67</v>
      </c>
      <c r="AF28" s="17">
        <v>3.9E-2</v>
      </c>
      <c r="AG28" s="1">
        <v>19</v>
      </c>
      <c r="AH28" s="2">
        <v>0</v>
      </c>
      <c r="AI28" s="1">
        <v>30</v>
      </c>
      <c r="AJ28" s="1">
        <v>28</v>
      </c>
      <c r="AL28" s="17" cm="1">
        <f t="array" ref="AL28">_xll.Domino.MLModel.GetLoanProbabilityOfDefault($Z28,$AA28,$AB28,$AC28,$AD28,$AF28,$AG28,$AH28,$Y28,1)</f>
        <v>7.5451135635375977E-3</v>
      </c>
      <c r="AM28" s="17" cm="1">
        <f t="array" ref="AM28">_xll.Domino.MLModel.GetLoanProbabilityOfDefault($Z28,$AA28,$AB28,$AC28,$AD28,$AF28,$AG28,$AH28,$Y28,2)</f>
        <v>1.5033298388388516E-2</v>
      </c>
      <c r="AN28" s="17" cm="1">
        <f t="array" ref="AN28">_xll.Domino.MLModel.GetLoanProbabilityOfDefault($Z28,$AA28,$AB28,$AC28,$AD28,$AF28,$AG28,$AH28,$Y28,5)</f>
        <v>3.7160559588851672E-2</v>
      </c>
      <c r="AO28" s="17" cm="1">
        <f t="array" ref="AO28">_xll.Domino.MLModel.GetLoanProbabilityOfDefault($Z28,$AA28,$AB28,$AC28,$AD28,$AF28,$AG28,$AH28,$Y28,10)</f>
        <v>7.2940211988747006E-2</v>
      </c>
      <c r="AP28" s="17" cm="1">
        <f t="array" ref="AP28">_xll.Domino.MLModel.GetLoanProbabilityOfDefault($Z28,$AA28,$AB28,$AC28,$AD28,$AF28,$AG28,$AH28,$Y28,30)</f>
        <v>0.20324787434304004</v>
      </c>
      <c r="AQ28" s="17" cm="1">
        <f t="array" ref="AQ28">_xll.Domino.MLModel.GetLoanProbabilityOfDefault($Z28,$AA28,$AB28,$AC28,$AD28,$AF28,$AG28,$AH28,$Y28,AJ28)</f>
        <v>0.19108724756551976</v>
      </c>
      <c r="AS28" s="2" t="str" cm="1">
        <f t="array" ref="AS28:AW28">_xll.Domino.MLModel.GetExpectedLoss(AL28,AQ28,AB28,AE28,AJ28,$M$14:$M$20,$O$14:$O$20)</f>
        <v>BB</v>
      </c>
      <c r="AT28" s="19">
        <v>0.24</v>
      </c>
      <c r="AU28" s="18">
        <v>19111.935175180897</v>
      </c>
      <c r="AV28" s="18">
        <v>767.04716872435927</v>
      </c>
      <c r="AW28" s="18">
        <v>208368.33499999999</v>
      </c>
    </row>
    <row r="29" spans="4:49" x14ac:dyDescent="0.45">
      <c r="L29" s="2" t="str">
        <v>1Y</v>
      </c>
      <c r="M29" s="16">
        <v>1</v>
      </c>
      <c r="N29" s="15">
        <v>0.967248</v>
      </c>
      <c r="O29" s="14">
        <v>3.3300000000000003E-2</v>
      </c>
      <c r="P29" s="14">
        <v>4.7999999999999996E-3</v>
      </c>
      <c r="Q29" s="14">
        <v>8.6999999999999994E-3</v>
      </c>
      <c r="R29" s="14">
        <v>1.34E-2</v>
      </c>
      <c r="S29" s="14">
        <v>1.8800000000000001E-2</v>
      </c>
      <c r="T29" s="14">
        <v>3.56E-2</v>
      </c>
      <c r="U29" s="14">
        <v>5.7200000000000001E-2</v>
      </c>
      <c r="X29" s="2" t="str">
        <v>L016</v>
      </c>
      <c r="Y29" s="2" t="str">
        <v>refi</v>
      </c>
      <c r="Z29" s="1">
        <v>778</v>
      </c>
      <c r="AA29" s="1">
        <v>0.28999999999999998</v>
      </c>
      <c r="AB29" s="1">
        <v>0.72</v>
      </c>
      <c r="AC29" s="13">
        <v>84</v>
      </c>
      <c r="AD29" s="13">
        <v>315000</v>
      </c>
      <c r="AE29" s="13">
        <v>279233.39</v>
      </c>
      <c r="AF29" s="17">
        <v>5.3999999999999999E-2</v>
      </c>
      <c r="AG29" s="1">
        <v>7</v>
      </c>
      <c r="AH29" s="2">
        <v>0</v>
      </c>
      <c r="AI29" s="1">
        <v>30</v>
      </c>
      <c r="AJ29" s="1">
        <v>23</v>
      </c>
      <c r="AL29" s="17" cm="1">
        <f t="array" ref="AL29">_xll.Domino.MLModel.GetLoanProbabilityOfDefault($Z29,$AA29,$AB29,$AC29,$AD29,$AF29,$AG29,$AH29,$Y29,1)</f>
        <v>1.5028119087218128E-3</v>
      </c>
      <c r="AM29" s="17" cm="1">
        <f t="array" ref="AM29">_xll.Domino.MLModel.GetLoanProbabilityOfDefault($Z29,$AA29,$AB29,$AC29,$AD29,$AF29,$AG29,$AH29,$Y29,2)</f>
        <v>3.0033653738108512E-3</v>
      </c>
      <c r="AN29" s="17" cm="1">
        <f t="array" ref="AN29">_xll.Domino.MLModel.GetLoanProbabilityOfDefault($Z29,$AA29,$AB29,$AC29,$AD29,$AF29,$AG29,$AH29,$Y29,5)</f>
        <v>7.491509021944287E-3</v>
      </c>
      <c r="AO29" s="17" cm="1">
        <f t="array" ref="AO29">_xll.Domino.MLModel.GetLoanProbabilityOfDefault($Z29,$AA29,$AB29,$AC29,$AD29,$AF29,$AG29,$AH29,$Y29,10)</f>
        <v>1.4926895336462742E-2</v>
      </c>
      <c r="AP29" s="17" cm="1">
        <f t="array" ref="AP29">_xll.Domino.MLModel.GetLoanProbabilityOfDefault($Z29,$AA29,$AB29,$AC29,$AD29,$AF29,$AG29,$AH29,$Y29,30)</f>
        <v>4.4115575290685882E-2</v>
      </c>
      <c r="AQ29" s="17" cm="1">
        <f t="array" ref="AQ29">_xll.Domino.MLModel.GetLoanProbabilityOfDefault($Z29,$AA29,$AB29,$AC29,$AD29,$AF29,$AG29,$AH29,$Y29,AJ29)</f>
        <v>3.3999253555009767E-2</v>
      </c>
      <c r="AS29" s="2" t="str" cm="1">
        <f t="array" ref="AS29:AW29">_xll.Domino.MLModel.GetExpectedLoss(AL29,AQ29,AB29,AE29,AJ29,$M$14:$M$20,$O$14:$O$20)</f>
        <v>A</v>
      </c>
      <c r="AT29" s="19">
        <v>0.12</v>
      </c>
      <c r="AU29" s="18">
        <v>1139.2472193161927</v>
      </c>
      <c r="AV29" s="18">
        <v>224.13599526252116</v>
      </c>
      <c r="AW29" s="18">
        <v>97731.686499999996</v>
      </c>
    </row>
    <row r="30" spans="4:49" x14ac:dyDescent="0.45">
      <c r="D30" s="11"/>
      <c r="L30" s="2" t="str">
        <v>2Y</v>
      </c>
      <c r="M30" s="16">
        <v>2</v>
      </c>
      <c r="N30" s="15">
        <v>0.93556899999999998</v>
      </c>
      <c r="O30" s="14">
        <v>3.3300000000000003E-2</v>
      </c>
      <c r="P30" s="14">
        <v>5.1000000000000004E-3</v>
      </c>
      <c r="Q30" s="14">
        <v>9.1000000000000004E-3</v>
      </c>
      <c r="R30" s="14">
        <v>1.4E-2</v>
      </c>
      <c r="S30" s="14">
        <v>1.9699999999999999E-2</v>
      </c>
      <c r="T30" s="14">
        <v>3.6799999999999999E-2</v>
      </c>
      <c r="U30" s="14">
        <v>5.8999999999999997E-2</v>
      </c>
      <c r="X30" s="2" t="str">
        <v>L017</v>
      </c>
      <c r="Y30" s="2" t="str">
        <v>refi</v>
      </c>
      <c r="Z30" s="1">
        <v>692</v>
      </c>
      <c r="AA30" s="1">
        <v>0.34</v>
      </c>
      <c r="AB30" s="1">
        <v>0.87</v>
      </c>
      <c r="AC30" s="13">
        <v>75</v>
      </c>
      <c r="AD30" s="13">
        <v>130000</v>
      </c>
      <c r="AE30" s="13">
        <v>117689.48</v>
      </c>
      <c r="AF30" s="17">
        <v>5.7000000000000002E-2</v>
      </c>
      <c r="AG30" s="1">
        <v>8</v>
      </c>
      <c r="AH30" s="2">
        <v>2</v>
      </c>
      <c r="AI30" s="1">
        <v>30</v>
      </c>
      <c r="AJ30" s="1">
        <v>23</v>
      </c>
      <c r="AL30" s="17" cm="1">
        <f t="array" ref="AL30">_xll.Domino.MLModel.GetLoanProbabilityOfDefault($Z30,$AA30,$AB30,$AC30,$AD30,$AF30,$AG30,$AH30,$Y30,1)</f>
        <v>1.5743792057037354E-2</v>
      </c>
      <c r="AM30" s="17" cm="1">
        <f t="array" ref="AM30">_xll.Domino.MLModel.GetLoanProbabilityOfDefault($Z30,$AA30,$AB30,$AC30,$AD30,$AF30,$AG30,$AH30,$Y30,2)</f>
        <v>3.1239717125739475E-2</v>
      </c>
      <c r="AN30" s="17" cm="1">
        <f t="array" ref="AN30">_xll.Domino.MLModel.GetLoanProbabilityOfDefault($Z30,$AA30,$AB30,$AC30,$AD30,$AF30,$AG30,$AH30,$Y30,5)</f>
        <v>7.6279007842104285E-2</v>
      </c>
      <c r="AO30" s="17" cm="1">
        <f t="array" ref="AO30">_xll.Domino.MLModel.GetLoanProbabilityOfDefault($Z30,$AA30,$AB30,$AC30,$AD30,$AF30,$AG30,$AH30,$Y30,10)</f>
        <v>0.14673952864683271</v>
      </c>
      <c r="AP30" s="17" cm="1">
        <f t="array" ref="AP30">_xll.Domino.MLModel.GetLoanProbabilityOfDefault($Z30,$AA30,$AB30,$AC30,$AD30,$AF30,$AG30,$AH30,$Y30,30)</f>
        <v>0.37878078546371929</v>
      </c>
      <c r="AQ30" s="17" cm="1">
        <f t="array" ref="AQ30">_xll.Domino.MLModel.GetLoanProbabilityOfDefault($Z30,$AA30,$AB30,$AC30,$AD30,$AF30,$AG30,$AH30,$Y30,AJ30)</f>
        <v>0.30579499344099803</v>
      </c>
      <c r="AS30" s="2" t="str" cm="1">
        <f t="array" ref="AS30:AW30">_xll.Domino.MLModel.GetExpectedLoss(AL30,AQ30,AB30,AE30,AJ30,$M$14:$M$20,$O$14:$O$20)</f>
        <v>BB</v>
      </c>
      <c r="AT30" s="19">
        <v>0.27</v>
      </c>
      <c r="AU30" s="18">
        <v>9716.990516462105</v>
      </c>
      <c r="AV30" s="18">
        <v>806.94961539423082</v>
      </c>
      <c r="AW30" s="18">
        <v>58844.74</v>
      </c>
    </row>
    <row r="31" spans="4:49" x14ac:dyDescent="0.45">
      <c r="L31" s="2" t="str">
        <v>3Y</v>
      </c>
      <c r="M31" s="16">
        <v>3</v>
      </c>
      <c r="N31" s="15">
        <v>0.90275899999999998</v>
      </c>
      <c r="O31" s="14">
        <v>3.4099999999999998E-2</v>
      </c>
      <c r="P31" s="14">
        <v>5.4000000000000003E-3</v>
      </c>
      <c r="Q31" s="14">
        <v>9.4999999999999998E-3</v>
      </c>
      <c r="R31" s="14">
        <v>1.46E-2</v>
      </c>
      <c r="S31" s="14">
        <v>2.06E-2</v>
      </c>
      <c r="T31" s="14">
        <v>3.7999999999999999E-2</v>
      </c>
      <c r="U31" s="14">
        <v>6.08E-2</v>
      </c>
      <c r="X31" s="2" t="str">
        <v>L018</v>
      </c>
      <c r="Y31" s="2" t="str">
        <v>purchase</v>
      </c>
      <c r="Z31" s="1">
        <v>706</v>
      </c>
      <c r="AA31" s="1">
        <v>0.4</v>
      </c>
      <c r="AB31" s="1">
        <v>0.89</v>
      </c>
      <c r="AC31" s="13">
        <v>56</v>
      </c>
      <c r="AD31" s="13">
        <v>410000</v>
      </c>
      <c r="AE31" s="13">
        <v>383254.61</v>
      </c>
      <c r="AF31" s="17">
        <v>5.8999999999999997E-2</v>
      </c>
      <c r="AG31" s="1">
        <v>9</v>
      </c>
      <c r="AH31" s="2">
        <v>1</v>
      </c>
      <c r="AI31" s="1">
        <v>30</v>
      </c>
      <c r="AJ31" s="1">
        <v>25</v>
      </c>
      <c r="AL31" s="17" cm="1">
        <f t="array" ref="AL31">_xll.Domino.MLModel.GetLoanProbabilityOfDefault($Z31,$AA31,$AB31,$AC31,$AD31,$AF31,$AG31,$AH31,$Y31,1)</f>
        <v>5.7968854904174805E-2</v>
      </c>
      <c r="AM31" s="17" cm="1">
        <f t="array" ref="AM31">_xll.Domino.MLModel.GetLoanProbabilityOfDefault($Z31,$AA31,$AB31,$AC31,$AD31,$AF31,$AG31,$AH31,$Y31,2)</f>
        <v>0.11257732166944834</v>
      </c>
      <c r="AN31" s="17" cm="1">
        <f t="array" ref="AN31">_xll.Domino.MLModel.GetLoanProbabilityOfDefault($Z31,$AA31,$AB31,$AC31,$AD31,$AF31,$AG31,$AH31,$Y31,5)</f>
        <v>0.25813256521049055</v>
      </c>
      <c r="AO31" s="17" cm="1">
        <f t="array" ref="AO31">_xll.Domino.MLModel.GetLoanProbabilityOfDefault($Z31,$AA31,$AB31,$AC31,$AD31,$AF31,$AG31,$AH31,$Y31,10)</f>
        <v>0.44963270919883302</v>
      </c>
      <c r="AP31" s="17" cm="1">
        <f t="array" ref="AP31">_xll.Domino.MLModel.GetLoanProbabilityOfDefault($Z31,$AA31,$AB31,$AC31,$AD31,$AF31,$AG31,$AH31,$Y31,30)</f>
        <v>0.83329146095921369</v>
      </c>
      <c r="AQ31" s="17" cm="1">
        <f t="array" ref="AQ31">_xll.Domino.MLModel.GetLoanProbabilityOfDefault($Z31,$AA31,$AB31,$AC31,$AD31,$AF31,$AG31,$AH31,$Y31,AJ31)</f>
        <v>0.77528527170344574</v>
      </c>
      <c r="AS31" s="2" t="str" cm="1">
        <f t="array" ref="AS31:AW31">_xll.Domino.MLModel.GetExpectedLoss(AL31,AQ31,AB31,AE31,AJ31,$M$14:$M$20,$O$14:$O$20)</f>
        <v>B</v>
      </c>
      <c r="AT31" s="19">
        <v>0.28999999999999998</v>
      </c>
      <c r="AU31" s="18">
        <v>86168.179789179994</v>
      </c>
      <c r="AV31" s="18">
        <v>2293.4356234757165</v>
      </c>
      <c r="AW31" s="18">
        <v>191627.30499999999</v>
      </c>
    </row>
    <row r="32" spans="4:49" x14ac:dyDescent="0.45">
      <c r="L32" s="2" t="str">
        <v>5Y</v>
      </c>
      <c r="M32" s="16">
        <v>5</v>
      </c>
      <c r="N32" s="15">
        <v>0.83526999999999996</v>
      </c>
      <c r="O32" s="14">
        <v>3.5999999999999997E-2</v>
      </c>
      <c r="P32" s="14">
        <v>6.0000000000000001E-3</v>
      </c>
      <c r="Q32" s="14">
        <v>1.03E-2</v>
      </c>
      <c r="R32" s="14">
        <v>1.5800000000000002E-2</v>
      </c>
      <c r="S32" s="14">
        <v>2.24E-2</v>
      </c>
      <c r="T32" s="14">
        <v>4.0399999999999998E-2</v>
      </c>
      <c r="U32" s="14">
        <v>6.4399999999999999E-2</v>
      </c>
      <c r="X32" s="2" t="str">
        <v>L019</v>
      </c>
      <c r="Y32" s="2" t="str">
        <v>refi</v>
      </c>
      <c r="Z32" s="1">
        <v>751</v>
      </c>
      <c r="AA32" s="1">
        <v>0.24</v>
      </c>
      <c r="AB32" s="1">
        <v>0.87</v>
      </c>
      <c r="AC32" s="13">
        <v>30</v>
      </c>
      <c r="AD32" s="13">
        <v>365000</v>
      </c>
      <c r="AE32" s="13">
        <v>352182.92</v>
      </c>
      <c r="AF32" s="17">
        <v>5.5E-2</v>
      </c>
      <c r="AG32" s="1">
        <v>2</v>
      </c>
      <c r="AH32" s="2">
        <v>0</v>
      </c>
      <c r="AI32" s="1">
        <v>30</v>
      </c>
      <c r="AJ32" s="1">
        <v>27</v>
      </c>
      <c r="AL32" s="17" cm="1">
        <f t="array" ref="AL32">_xll.Domino.MLModel.GetLoanProbabilityOfDefault($Z32,$AA32,$AB32,$AC32,$AD32,$AF32,$AG32,$AH32,$Y32,1)</f>
        <v>3.4223198890686035E-3</v>
      </c>
      <c r="AM32" s="17" cm="1">
        <f t="array" ref="AM32">_xll.Domino.MLModel.GetLoanProbabilityOfDefault($Z32,$AA32,$AB32,$AC32,$AD32,$AF32,$AG32,$AH32,$Y32,2)</f>
        <v>6.8329275047140925E-3</v>
      </c>
      <c r="AN32" s="17" cm="1">
        <f t="array" ref="AN32">_xll.Domino.MLModel.GetLoanProbabilityOfDefault($Z32,$AA32,$AB32,$AC32,$AD32,$AF32,$AG32,$AH32,$Y32,5)</f>
        <v>1.6994876857157393E-2</v>
      </c>
      <c r="AO32" s="17" cm="1">
        <f t="array" ref="AO32">_xll.Domino.MLModel.GetLoanProbabilityOfDefault($Z32,$AA32,$AB32,$AC32,$AD32,$AF32,$AG32,$AH32,$Y32,10)</f>
        <v>3.3700927874924846E-2</v>
      </c>
      <c r="AP32" s="17" cm="1">
        <f t="array" ref="AP32">_xll.Domino.MLModel.GetLoanProbabilityOfDefault($Z32,$AA32,$AB32,$AC32,$AD32,$AF32,$AG32,$AH32,$Y32,30)</f>
        <v>9.7733801920303898E-2</v>
      </c>
      <c r="AQ32" s="17" cm="1">
        <f t="array" ref="AQ32">_xll.Domino.MLModel.GetLoanProbabilityOfDefault($Z32,$AA32,$AB32,$AC32,$AD32,$AF32,$AG32,$AH32,$Y32,AJ32)</f>
        <v>8.8406502202889148E-2</v>
      </c>
      <c r="AS32" s="2" t="str" cm="1">
        <f t="array" ref="AS32:AW32">_xll.Domino.MLModel.GetExpectedLoss(AL32,AQ32,AB32,AE32,AJ32,$M$14:$M$20,$O$14:$O$20)</f>
        <v>BBB</v>
      </c>
      <c r="AT32" s="19">
        <v>0.27</v>
      </c>
      <c r="AU32" s="18">
        <v>8406.5202250559778</v>
      </c>
      <c r="AV32" s="18">
        <v>808.83335017485444</v>
      </c>
      <c r="AW32" s="18">
        <v>176091.46</v>
      </c>
    </row>
    <row r="33" spans="11:49" x14ac:dyDescent="0.45">
      <c r="L33" s="2" t="str">
        <v>10Y</v>
      </c>
      <c r="M33" s="16">
        <v>10</v>
      </c>
      <c r="N33" s="15">
        <v>0.66697700000000004</v>
      </c>
      <c r="O33" s="14">
        <v>4.0500000000000001E-2</v>
      </c>
      <c r="P33" s="14">
        <v>7.4999999999999997E-3</v>
      </c>
      <c r="Q33" s="14">
        <v>1.23E-2</v>
      </c>
      <c r="R33" s="14">
        <v>1.8800000000000001E-2</v>
      </c>
      <c r="S33" s="14">
        <v>2.69E-2</v>
      </c>
      <c r="T33" s="14">
        <v>4.6399999999999997E-2</v>
      </c>
      <c r="U33" s="14">
        <v>7.3400000000000007E-2</v>
      </c>
      <c r="X33" s="2" t="str">
        <v>L020</v>
      </c>
      <c r="Y33" s="2" t="str">
        <v>refi</v>
      </c>
      <c r="Z33" s="1">
        <v>722</v>
      </c>
      <c r="AA33" s="1">
        <v>0.32</v>
      </c>
      <c r="AB33" s="1">
        <v>0.92</v>
      </c>
      <c r="AC33" s="13">
        <v>37</v>
      </c>
      <c r="AD33" s="13">
        <v>350000</v>
      </c>
      <c r="AE33" s="13">
        <v>339616.76</v>
      </c>
      <c r="AF33" s="17">
        <v>7.6999999999999999E-2</v>
      </c>
      <c r="AG33" s="1">
        <v>1</v>
      </c>
      <c r="AH33" s="2">
        <v>0</v>
      </c>
      <c r="AI33" s="1">
        <v>30</v>
      </c>
      <c r="AJ33" s="1">
        <v>26</v>
      </c>
      <c r="AL33" s="17" cm="1">
        <f t="array" ref="AL33">_xll.Domino.MLModel.GetLoanProbabilityOfDefault($Z33,$AA33,$AB33,$AC33,$AD33,$AF33,$AG33,$AH33,$Y33,1)</f>
        <v>3.6765098571777344E-2</v>
      </c>
      <c r="AM33" s="17" cm="1">
        <f t="array" ref="AM33">_xll.Domino.MLModel.GetLoanProbabilityOfDefault($Z33,$AA33,$AB33,$AC33,$AD33,$AF33,$AG33,$AH33,$Y33,2)</f>
        <v>7.2178524670562183E-2</v>
      </c>
      <c r="AN33" s="17" cm="1">
        <f t="array" ref="AN33">_xll.Domino.MLModel.GetLoanProbabilityOfDefault($Z33,$AA33,$AB33,$AC33,$AD33,$AF33,$AG33,$AH33,$Y33,5)</f>
        <v>0.17079664392416805</v>
      </c>
      <c r="AO33" s="17" cm="1">
        <f t="array" ref="AO33">_xll.Domino.MLModel.GetLoanProbabilityOfDefault($Z33,$AA33,$AB33,$AC33,$AD33,$AF33,$AG33,$AH33,$Y33,10)</f>
        <v>0.31242179427257699</v>
      </c>
      <c r="AP33" s="17" cm="1">
        <f t="array" ref="AP33">_xll.Domino.MLModel.GetLoanProbabilityOfDefault($Z33,$AA33,$AB33,$AC33,$AD33,$AF33,$AG33,$AH33,$Y33,30)</f>
        <v>0.67493792223243476</v>
      </c>
      <c r="AQ33" s="17" cm="1">
        <f t="array" ref="AQ33">_xll.Domino.MLModel.GetLoanProbabilityOfDefault($Z33,$AA33,$AB33,$AC33,$AD33,$AF33,$AG33,$AH33,$Y33,AJ33)</f>
        <v>0.62239523496590932</v>
      </c>
      <c r="AS33" s="2" t="str" cm="1">
        <f t="array" ref="AS33:AW33">_xll.Domino.MLModel.GetExpectedLoss(AL33,AQ33,AB33,AE33,AJ33,$M$14:$M$20,$O$14:$O$20)</f>
        <v>B</v>
      </c>
      <c r="AT33" s="19">
        <v>0.32</v>
      </c>
      <c r="AU33" s="18">
        <v>67640.27300433944</v>
      </c>
      <c r="AV33" s="18">
        <v>1481.0089228653576</v>
      </c>
      <c r="AW33" s="18">
        <v>254712.57</v>
      </c>
    </row>
    <row r="34" spans="11:49" x14ac:dyDescent="0.45">
      <c r="L34" s="2" t="str">
        <v>30Y</v>
      </c>
      <c r="M34" s="16">
        <v>30</v>
      </c>
      <c r="N34" s="15">
        <v>0.27444600000000002</v>
      </c>
      <c r="O34" s="14">
        <v>4.3099999999999999E-2</v>
      </c>
      <c r="P34" s="14">
        <v>1.35E-2</v>
      </c>
      <c r="Q34" s="14">
        <v>2.0299999999999999E-2</v>
      </c>
      <c r="R34" s="14">
        <v>3.0800000000000001E-2</v>
      </c>
      <c r="S34" s="14">
        <v>4.4900000000000002E-2</v>
      </c>
      <c r="T34" s="14">
        <v>7.0400000000000004E-2</v>
      </c>
      <c r="U34" s="14">
        <v>0.1094</v>
      </c>
      <c r="X34" s="2" t="str">
        <v>L021</v>
      </c>
      <c r="Y34" s="2" t="str">
        <v>refi</v>
      </c>
      <c r="Z34" s="1">
        <v>705</v>
      </c>
      <c r="AA34" s="1">
        <v>0.17</v>
      </c>
      <c r="AB34" s="1">
        <v>0.83</v>
      </c>
      <c r="AC34" s="13">
        <v>50</v>
      </c>
      <c r="AD34" s="13">
        <v>315000</v>
      </c>
      <c r="AE34" s="13">
        <v>279306.23999999999</v>
      </c>
      <c r="AF34" s="17">
        <v>6.8000000000000005E-2</v>
      </c>
      <c r="AG34" s="1">
        <v>7</v>
      </c>
      <c r="AH34" s="2">
        <v>0</v>
      </c>
      <c r="AI34" s="1">
        <v>20</v>
      </c>
      <c r="AJ34" s="1">
        <v>15</v>
      </c>
      <c r="AL34" s="17" cm="1">
        <f t="array" ref="AL34">_xll.Domino.MLModel.GetLoanProbabilityOfDefault($Z34,$AA34,$AB34,$AC34,$AD34,$AF34,$AG34,$AH34,$Y34,1)</f>
        <v>1.8256962299346924E-2</v>
      </c>
      <c r="AM34" s="17" cm="1">
        <f t="array" ref="AM34">_xll.Domino.MLModel.GetLoanProbabilityOfDefault($Z34,$AA34,$AB34,$AC34,$AD34,$AF34,$AG34,$AH34,$Y34,2)</f>
        <v>3.6180607926294073E-2</v>
      </c>
      <c r="AN34" s="17" cm="1">
        <f t="array" ref="AN34">_xll.Domino.MLModel.GetLoanProbabilityOfDefault($Z34,$AA34,$AB34,$AC34,$AD34,$AF34,$AG34,$AH34,$Y34,5)</f>
        <v>8.8011944800282405E-2</v>
      </c>
      <c r="AO34" s="17" cm="1">
        <f t="array" ref="AO34">_xll.Domino.MLModel.GetLoanProbabilityOfDefault($Z34,$AA34,$AB34,$AC34,$AD34,$AF34,$AG34,$AH34,$Y34,10)</f>
        <v>0.16827778717303687</v>
      </c>
      <c r="AP34" s="17" cm="1">
        <f t="array" ref="AP34">_xll.Domino.MLModel.GetLoanProbabilityOfDefault($Z34,$AA34,$AB34,$AC34,$AD34,$AF34,$AG34,$AH34,$Y34,30)</f>
        <v>0.42464631226001959</v>
      </c>
      <c r="AQ34" s="17" cm="1">
        <f t="array" ref="AQ34">_xll.Domino.MLModel.GetLoanProbabilityOfDefault($Z34,$AA34,$AB34,$AC34,$AD34,$AF34,$AG34,$AH34,$Y34,AJ34)</f>
        <v>0.24147927665753233</v>
      </c>
      <c r="AS34" s="2" t="str" cm="1">
        <f t="array" ref="AS34:AW34">_xll.Domino.MLModel.GetExpectedLoss(AL34,AQ34,AB34,AE34,AJ34,$M$14:$M$20,$O$14:$O$20)</f>
        <v>BB</v>
      </c>
      <c r="AT34" s="19">
        <v>0.23</v>
      </c>
      <c r="AU34" s="18">
        <v>15512.733824261055</v>
      </c>
      <c r="AV34" s="18">
        <v>3590.9300065386788</v>
      </c>
      <c r="AW34" s="18">
        <v>139653.12</v>
      </c>
    </row>
    <row r="35" spans="11:49" x14ac:dyDescent="0.45">
      <c r="K35" s="12">
        <f>DATE(YEAR(K28),MONTH(K28)-1,DAY(K28))</f>
        <v>45201</v>
      </c>
      <c r="L35" s="2" t="str" cm="1">
        <f t="array" ref="L35:U41">_xll.Domino.MLModel.GetCreditCurves(K35)</f>
        <v>3M</v>
      </c>
      <c r="M35" s="16">
        <v>0.25</v>
      </c>
      <c r="N35" s="15">
        <v>0.99126300000000001</v>
      </c>
      <c r="O35" s="14">
        <v>3.5099999999999999E-2</v>
      </c>
      <c r="P35" s="14">
        <v>4.9750000000000003E-3</v>
      </c>
      <c r="Q35" s="14">
        <v>7.4000000000000003E-3</v>
      </c>
      <c r="R35" s="14">
        <v>1.115E-2</v>
      </c>
      <c r="S35" s="14">
        <v>1.8624999999999999E-2</v>
      </c>
      <c r="T35" s="14">
        <v>3.4700000000000002E-2</v>
      </c>
      <c r="U35" s="14">
        <v>5.6250000000000001E-2</v>
      </c>
      <c r="X35" s="2" t="str">
        <v>L022</v>
      </c>
      <c r="Y35" s="2" t="str">
        <v>refi</v>
      </c>
      <c r="Z35" s="1">
        <v>754</v>
      </c>
      <c r="AA35" s="1">
        <v>0.26</v>
      </c>
      <c r="AB35" s="1">
        <v>0.86</v>
      </c>
      <c r="AC35" s="13">
        <v>90</v>
      </c>
      <c r="AD35" s="13">
        <v>290000</v>
      </c>
      <c r="AE35" s="13">
        <v>253677.51</v>
      </c>
      <c r="AF35" s="17">
        <v>5.2999999999999999E-2</v>
      </c>
      <c r="AG35" s="1">
        <v>5</v>
      </c>
      <c r="AH35" s="2">
        <v>0</v>
      </c>
      <c r="AI35" s="1">
        <v>30</v>
      </c>
      <c r="AJ35" s="1">
        <v>22</v>
      </c>
      <c r="AL35" s="17" cm="1">
        <f t="array" ref="AL35">_xll.Domino.MLModel.GetLoanProbabilityOfDefault($Z35,$AA35,$AB35,$AC35,$AD35,$AF35,$AG35,$AH35,$Y35,1)</f>
        <v>1.0818243026733398E-3</v>
      </c>
      <c r="AM35" s="17" cm="1">
        <f t="array" ref="AM35">_xll.Domino.MLModel.GetLoanProbabilityOfDefault($Z35,$AA35,$AB35,$AC35,$AD35,$AF35,$AG35,$AH35,$Y35,2)</f>
        <v>2.162478261524825E-3</v>
      </c>
      <c r="AN35" s="17" cm="1">
        <f t="array" ref="AN35">_xll.Domino.MLModel.GetLoanProbabilityOfDefault($Z35,$AA35,$AB35,$AC35,$AD35,$AF35,$AG35,$AH35,$Y35,5)</f>
        <v>5.3974307293649382E-3</v>
      </c>
      <c r="AO35" s="17" cm="1">
        <f t="array" ref="AO35">_xll.Domino.MLModel.GetLoanProbabilityOfDefault($Z35,$AA35,$AB35,$AC35,$AD35,$AF35,$AG35,$AH35,$Y35,10)</f>
        <v>1.076572920025165E-2</v>
      </c>
      <c r="AP35" s="17" cm="1">
        <f t="array" ref="AP35">_xll.Domino.MLModel.GetLoanProbabilityOfDefault($Z35,$AA35,$AB35,$AC35,$AD35,$AF35,$AG35,$AH35,$Y35,30)</f>
        <v>3.1950732583090558E-2</v>
      </c>
      <c r="AQ35" s="17" cm="1">
        <f t="array" ref="AQ35">_xll.Domino.MLModel.GetLoanProbabilityOfDefault($Z35,$AA35,$AB35,$AC35,$AD35,$AF35,$AG35,$AH35,$Y35,AJ35)</f>
        <v>2.3531725059316333E-2</v>
      </c>
      <c r="AS35" s="2" t="str" cm="1">
        <f t="array" ref="AS35:AW35">_xll.Domino.MLModel.GetExpectedLoss(AL35,AQ35,AB35,AE35,AJ35,$M$14:$M$20,$O$14:$O$20)</f>
        <v>A</v>
      </c>
      <c r="AT35" s="19">
        <v>0.26</v>
      </c>
      <c r="AU35" s="18">
        <v>1552.0620489535102</v>
      </c>
      <c r="AV35" s="18">
        <v>333.02570524854769</v>
      </c>
      <c r="AW35" s="18">
        <v>126838.755</v>
      </c>
    </row>
    <row r="36" spans="11:49" x14ac:dyDescent="0.45">
      <c r="L36" s="2" t="str">
        <v>1Y</v>
      </c>
      <c r="M36" s="16">
        <v>1</v>
      </c>
      <c r="N36" s="15">
        <v>0.967248</v>
      </c>
      <c r="O36" s="14">
        <v>3.3300000000000003E-2</v>
      </c>
      <c r="P36" s="14">
        <v>5.1999999999999998E-3</v>
      </c>
      <c r="Q36" s="14">
        <v>7.7000000000000002E-3</v>
      </c>
      <c r="R36" s="14">
        <v>1.1599999999999999E-2</v>
      </c>
      <c r="S36" s="14">
        <v>1.9300000000000001E-2</v>
      </c>
      <c r="T36" s="14">
        <v>3.56E-2</v>
      </c>
      <c r="U36" s="14">
        <v>5.7599999999999998E-2</v>
      </c>
      <c r="X36" s="2" t="str">
        <v>L023</v>
      </c>
      <c r="Y36" s="2" t="str">
        <v>refi</v>
      </c>
      <c r="Z36" s="1">
        <v>762</v>
      </c>
      <c r="AA36" s="1">
        <v>0.28000000000000003</v>
      </c>
      <c r="AB36" s="1">
        <v>0.9</v>
      </c>
      <c r="AC36" s="13">
        <v>48</v>
      </c>
      <c r="AD36" s="13">
        <v>295000</v>
      </c>
      <c r="AE36" s="13">
        <v>261798.09</v>
      </c>
      <c r="AF36" s="17">
        <v>6.4000000000000001E-2</v>
      </c>
      <c r="AG36" s="1">
        <v>17</v>
      </c>
      <c r="AH36" s="2">
        <v>1</v>
      </c>
      <c r="AI36" s="1">
        <v>20</v>
      </c>
      <c r="AJ36" s="1">
        <v>16</v>
      </c>
      <c r="AL36" s="17" cm="1">
        <f t="array" ref="AL36">_xll.Domino.MLModel.GetLoanProbabilityOfDefault($Z36,$AA36,$AB36,$AC36,$AD36,$AF36,$AG36,$AH36,$Y36,1)</f>
        <v>1.3709783554077148E-2</v>
      </c>
      <c r="AM36" s="17" cm="1">
        <f t="array" ref="AM36">_xll.Domino.MLModel.GetLoanProbabilityOfDefault($Z36,$AA36,$AB36,$AC36,$AD36,$AF36,$AG36,$AH36,$Y36,2)</f>
        <v>2.7231608943054653E-2</v>
      </c>
      <c r="AN36" s="17" cm="1">
        <f t="array" ref="AN36">_xll.Domino.MLModel.GetLoanProbabilityOfDefault($Z36,$AA36,$AB36,$AC36,$AD36,$AF36,$AG36,$AH36,$Y36,5)</f>
        <v>6.6694928619980498E-2</v>
      </c>
      <c r="AO36" s="17" cm="1">
        <f t="array" ref="AO36">_xll.Domino.MLModel.GetLoanProbabilityOfDefault($Z36,$AA36,$AB36,$AC36,$AD36,$AF36,$AG36,$AH36,$Y36,10)</f>
        <v>0.12894164373633676</v>
      </c>
      <c r="AP36" s="17" cm="1">
        <f t="array" ref="AP36">_xll.Domino.MLModel.GetLoanProbabilityOfDefault($Z36,$AA36,$AB36,$AC36,$AD36,$AF36,$AG36,$AH36,$Y36,30)</f>
        <v>0.33909086573868596</v>
      </c>
      <c r="AQ36" s="17" cm="1">
        <f t="array" ref="AQ36">_xll.Domino.MLModel.GetLoanProbabilityOfDefault($Z36,$AA36,$AB36,$AC36,$AD36,$AF36,$AG36,$AH36,$Y36,AJ36)</f>
        <v>0.19818236788517984</v>
      </c>
      <c r="AS36" s="2" t="str" cm="1">
        <f t="array" ref="AS36:AW36">_xll.Domino.MLModel.GetExpectedLoss(AL36,AQ36,AB36,AE36,AJ36,$M$14:$M$20,$O$14:$O$20)</f>
        <v>BB</v>
      </c>
      <c r="AT36" s="19">
        <v>0.3</v>
      </c>
      <c r="AU36" s="18">
        <v>15565.129615205242</v>
      </c>
      <c r="AV36" s="18">
        <v>3199.3674910096161</v>
      </c>
      <c r="AW36" s="18">
        <v>130899.045</v>
      </c>
    </row>
    <row r="37" spans="11:49" x14ac:dyDescent="0.45">
      <c r="L37" s="2" t="str">
        <v>2Y</v>
      </c>
      <c r="M37" s="16">
        <v>2</v>
      </c>
      <c r="N37" s="15">
        <v>0.93556899999999998</v>
      </c>
      <c r="O37" s="14">
        <v>3.3300000000000003E-2</v>
      </c>
      <c r="P37" s="14">
        <v>5.4999999999999997E-3</v>
      </c>
      <c r="Q37" s="14">
        <v>8.0999999999999996E-3</v>
      </c>
      <c r="R37" s="14">
        <v>1.2200000000000001E-2</v>
      </c>
      <c r="S37" s="14">
        <v>2.0199999999999999E-2</v>
      </c>
      <c r="T37" s="14">
        <v>3.6799999999999999E-2</v>
      </c>
      <c r="U37" s="14">
        <v>5.9400000000000001E-2</v>
      </c>
      <c r="X37" s="2" t="str">
        <v>L024</v>
      </c>
      <c r="Y37" s="2" t="str">
        <v>refi</v>
      </c>
      <c r="Z37" s="1">
        <v>755</v>
      </c>
      <c r="AA37" s="1">
        <v>0.22</v>
      </c>
      <c r="AB37" s="1">
        <v>0.82</v>
      </c>
      <c r="AC37" s="13">
        <v>72</v>
      </c>
      <c r="AD37" s="13">
        <v>395000</v>
      </c>
      <c r="AE37" s="13">
        <v>319832.38</v>
      </c>
      <c r="AF37" s="17">
        <v>5.8000000000000003E-2</v>
      </c>
      <c r="AG37" s="1">
        <v>1</v>
      </c>
      <c r="AH37" s="2">
        <v>0</v>
      </c>
      <c r="AI37" s="1">
        <v>20</v>
      </c>
      <c r="AJ37" s="1">
        <v>14</v>
      </c>
      <c r="AL37" s="17" cm="1">
        <f t="array" ref="AL37">_xll.Domino.MLModel.GetLoanProbabilityOfDefault($Z37,$AA37,$AB37,$AC37,$AD37,$AF37,$AG37,$AH37,$Y37,1)</f>
        <v>6.3556432723999023E-3</v>
      </c>
      <c r="AM37" s="17" cm="1">
        <f t="array" ref="AM37">_xll.Domino.MLModel.GetLoanProbabilityOfDefault($Z37,$AA37,$AB37,$AC37,$AD37,$AF37,$AG37,$AH37,$Y37,2)</f>
        <v>1.2670892343393803E-2</v>
      </c>
      <c r="AN37" s="17" cm="1">
        <f t="array" ref="AN37">_xll.Domino.MLModel.GetLoanProbabilityOfDefault($Z37,$AA37,$AB37,$AC37,$AD37,$AF37,$AG37,$AH37,$Y37,5)</f>
        <v>3.1376833511196467E-2</v>
      </c>
      <c r="AO37" s="17" cm="1">
        <f t="array" ref="AO37">_xll.Domino.MLModel.GetLoanProbabilityOfDefault($Z37,$AA37,$AB37,$AC37,$AD37,$AF37,$AG37,$AH37,$Y37,10)</f>
        <v>6.1769161341203693E-2</v>
      </c>
      <c r="AP37" s="17" cm="1">
        <f t="array" ref="AP37">_xll.Domino.MLModel.GetLoanProbabilityOfDefault($Z37,$AA37,$AB37,$AC37,$AD37,$AF37,$AG37,$AH37,$Y37,30)</f>
        <v>0.17409687201279667</v>
      </c>
      <c r="AQ37" s="17" cm="1">
        <f t="array" ref="AQ37">_xll.Domino.MLModel.GetLoanProbabilityOfDefault($Z37,$AA37,$AB37,$AC37,$AD37,$AF37,$AG37,$AH37,$Y37,AJ37)</f>
        <v>8.5394970860517505E-2</v>
      </c>
      <c r="AS37" s="2" t="str" cm="1">
        <f t="array" ref="AS37:AW37">_xll.Domino.MLModel.GetExpectedLoss(AL37,AQ37,AB37,AE37,AJ37,$M$14:$M$20,$O$14:$O$20)</f>
        <v>BB</v>
      </c>
      <c r="AT37" s="19">
        <v>0.22</v>
      </c>
      <c r="AU37" s="18">
        <v>6008.6568894769916</v>
      </c>
      <c r="AV37" s="18">
        <v>1562.2408678263439</v>
      </c>
      <c r="AW37" s="18">
        <v>159916.19</v>
      </c>
    </row>
    <row r="38" spans="11:49" x14ac:dyDescent="0.45">
      <c r="L38" s="2" t="str">
        <v>3Y</v>
      </c>
      <c r="M38" s="16">
        <v>3</v>
      </c>
      <c r="N38" s="15">
        <v>0.90275899999999998</v>
      </c>
      <c r="O38" s="14">
        <v>3.4099999999999998E-2</v>
      </c>
      <c r="P38" s="14">
        <v>5.7999999999999996E-3</v>
      </c>
      <c r="Q38" s="14">
        <v>8.5000000000000006E-3</v>
      </c>
      <c r="R38" s="14">
        <v>1.2800000000000001E-2</v>
      </c>
      <c r="S38" s="14">
        <v>2.1100000000000001E-2</v>
      </c>
      <c r="T38" s="14">
        <v>3.7999999999999999E-2</v>
      </c>
      <c r="U38" s="14">
        <v>6.1199999999999997E-2</v>
      </c>
      <c r="X38" s="2" t="str">
        <v>L025</v>
      </c>
      <c r="Y38" s="2" t="str">
        <v>refi</v>
      </c>
      <c r="Z38" s="1">
        <v>756</v>
      </c>
      <c r="AA38" s="1">
        <v>0.35</v>
      </c>
      <c r="AB38" s="1">
        <v>0.84</v>
      </c>
      <c r="AC38" s="13">
        <v>49</v>
      </c>
      <c r="AD38" s="13">
        <v>255000</v>
      </c>
      <c r="AE38" s="13">
        <v>221670.97</v>
      </c>
      <c r="AF38" s="17">
        <v>5.0999999999999997E-2</v>
      </c>
      <c r="AG38" s="1">
        <v>2</v>
      </c>
      <c r="AH38" s="2">
        <v>0</v>
      </c>
      <c r="AI38" s="1">
        <v>20</v>
      </c>
      <c r="AJ38" s="1">
        <v>15</v>
      </c>
      <c r="AL38" s="17" cm="1">
        <f t="array" ref="AL38">_xll.Domino.MLModel.GetLoanProbabilityOfDefault($Z38,$AA38,$AB38,$AC38,$AD38,$AF38,$AG38,$AH38,$Y38,1)</f>
        <v>1.0107755661010742E-3</v>
      </c>
      <c r="AM38" s="17" cm="1">
        <f t="array" ref="AM38">_xll.Domino.MLModel.GetLoanProbabilityOfDefault($Z38,$AA38,$AB38,$AC38,$AD38,$AF38,$AG38,$AH38,$Y38,2)</f>
        <v>2.0205294649571215E-3</v>
      </c>
      <c r="AN38" s="17" cm="1">
        <f t="array" ref="AN38">_xll.Domino.MLModel.GetLoanProbabilityOfDefault($Z38,$AA38,$AB38,$AC38,$AD38,$AF38,$AG38,$AH38,$Y38,5)</f>
        <v>5.0436714795999427E-3</v>
      </c>
      <c r="AO38" s="17" cm="1">
        <f t="array" ref="AO38">_xll.Domino.MLModel.GetLoanProbabilityOfDefault($Z38,$AA38,$AB38,$AC38,$AD38,$AF38,$AG38,$AH38,$Y38,10)</f>
        <v>1.0061904337205885E-2</v>
      </c>
      <c r="AP38" s="17" cm="1">
        <f t="array" ref="AP38">_xll.Domino.MLModel.GetLoanProbabilityOfDefault($Z38,$AA38,$AB38,$AC38,$AD38,$AF38,$AG38,$AH38,$Y38,30)</f>
        <v>2.9883005941447216E-2</v>
      </c>
      <c r="AQ38" s="17" cm="1">
        <f t="array" ref="AQ38">_xll.Domino.MLModel.GetLoanProbabilityOfDefault($Z38,$AA38,$AB38,$AC38,$AD38,$AF38,$AG38,$AH38,$Y38,AJ38)</f>
        <v>1.5054826876869876E-2</v>
      </c>
      <c r="AS38" s="2" t="str" cm="1">
        <f t="array" ref="AS38:AW38">_xll.Domino.MLModel.GetExpectedLoss(AL38,AQ38,AB38,AE38,AJ38,$M$14:$M$20,$O$14:$O$20)</f>
        <v>A</v>
      </c>
      <c r="AT38" s="19">
        <v>0.24</v>
      </c>
      <c r="AU38" s="18">
        <v>800.93233847467707</v>
      </c>
      <c r="AV38" s="18">
        <v>302.78605656867757</v>
      </c>
      <c r="AW38" s="18">
        <v>110835.485</v>
      </c>
    </row>
    <row r="39" spans="11:49" x14ac:dyDescent="0.45">
      <c r="L39" s="2" t="str">
        <v>5Y</v>
      </c>
      <c r="M39" s="16">
        <v>5</v>
      </c>
      <c r="N39" s="15">
        <v>0.83526999999999996</v>
      </c>
      <c r="O39" s="14">
        <v>3.5999999999999997E-2</v>
      </c>
      <c r="P39" s="14">
        <v>6.4000000000000003E-3</v>
      </c>
      <c r="Q39" s="14">
        <v>9.2999999999999992E-3</v>
      </c>
      <c r="R39" s="14">
        <v>1.4E-2</v>
      </c>
      <c r="S39" s="14">
        <v>2.29E-2</v>
      </c>
      <c r="T39" s="14">
        <v>4.0399999999999998E-2</v>
      </c>
      <c r="U39" s="14">
        <v>6.4799999999999996E-2</v>
      </c>
      <c r="X39" s="2" t="str">
        <v>L026</v>
      </c>
      <c r="Y39" s="2" t="str">
        <v>refi</v>
      </c>
      <c r="Z39" s="1">
        <v>792</v>
      </c>
      <c r="AA39" s="1">
        <v>0.32</v>
      </c>
      <c r="AB39" s="1">
        <v>0.91</v>
      </c>
      <c r="AC39" s="13">
        <v>51</v>
      </c>
      <c r="AD39" s="13">
        <v>310000</v>
      </c>
      <c r="AE39" s="13">
        <v>263524.38</v>
      </c>
      <c r="AF39" s="17">
        <v>4.1000000000000002E-2</v>
      </c>
      <c r="AG39" s="1">
        <v>10</v>
      </c>
      <c r="AH39" s="2">
        <v>1</v>
      </c>
      <c r="AI39" s="1">
        <v>20</v>
      </c>
      <c r="AJ39" s="1">
        <v>15</v>
      </c>
      <c r="AL39" s="17" cm="1">
        <f t="array" ref="AL39">_xll.Domino.MLModel.GetLoanProbabilityOfDefault($Z39,$AA39,$AB39,$AC39,$AD39,$AF39,$AG39,$AH39,$Y39,1)</f>
        <v>1.4512538909912109E-3</v>
      </c>
      <c r="AM39" s="17" cm="1">
        <f t="array" ref="AM39">_xll.Domino.MLModel.GetLoanProbabilityOfDefault($Z39,$AA39,$AB39,$AC39,$AD39,$AF39,$AG39,$AH39,$Y39,2)</f>
        <v>2.9004016441263047E-3</v>
      </c>
      <c r="AN39" s="17" cm="1">
        <f t="array" ref="AN39">_xll.Domino.MLModel.GetLoanProbabilityOfDefault($Z39,$AA39,$AB39,$AC39,$AD39,$AF39,$AG39,$AH39,$Y39,5)</f>
        <v>7.2352386196298246E-3</v>
      </c>
      <c r="AO39" s="17" cm="1">
        <f t="array" ref="AO39">_xll.Domino.MLModel.GetLoanProbabilityOfDefault($Z39,$AA39,$AB39,$AC39,$AD39,$AF39,$AG39,$AH39,$Y39,10)</f>
        <v>1.4418128561376586E-2</v>
      </c>
      <c r="AP39" s="17" cm="1">
        <f t="array" ref="AP39">_xll.Domino.MLModel.GetLoanProbabilityOfDefault($Z39,$AA39,$AB39,$AC39,$AD39,$AF39,$AG39,$AH39,$Y39,30)</f>
        <v>4.2633735666111727E-2</v>
      </c>
      <c r="AQ39" s="17" cm="1">
        <f t="array" ref="AQ39">_xll.Domino.MLModel.GetLoanProbabilityOfDefault($Z39,$AA39,$AB39,$AC39,$AD39,$AF39,$AG39,$AH39,$Y39,AJ39)</f>
        <v>2.1549048580416397E-2</v>
      </c>
      <c r="AS39" s="2" t="str" cm="1">
        <f t="array" ref="AS39:AW39">_xll.Domino.MLModel.GetExpectedLoss(AL39,AQ39,AB39,AE39,AJ39,$M$14:$M$20,$O$14:$O$20)</f>
        <v>A</v>
      </c>
      <c r="AT39" s="19">
        <v>0.31</v>
      </c>
      <c r="AU39" s="18">
        <v>1760.396896690675</v>
      </c>
      <c r="AV39" s="18">
        <v>665.50394925970352</v>
      </c>
      <c r="AW39" s="18">
        <v>197643.285</v>
      </c>
    </row>
    <row r="40" spans="11:49" x14ac:dyDescent="0.45">
      <c r="L40" s="2" t="str">
        <v>10Y</v>
      </c>
      <c r="M40" s="16">
        <v>10</v>
      </c>
      <c r="N40" s="15">
        <v>0.66697700000000004</v>
      </c>
      <c r="O40" s="14">
        <v>4.0500000000000001E-2</v>
      </c>
      <c r="P40" s="14">
        <v>7.9000000000000008E-3</v>
      </c>
      <c r="Q40" s="14">
        <v>1.1299999999999999E-2</v>
      </c>
      <c r="R40" s="14">
        <v>1.7000000000000001E-2</v>
      </c>
      <c r="S40" s="14">
        <v>2.7400000000000001E-2</v>
      </c>
      <c r="T40" s="14">
        <v>4.6399999999999997E-2</v>
      </c>
      <c r="U40" s="14">
        <v>7.3800000000000004E-2</v>
      </c>
      <c r="X40" s="2" t="str">
        <v>L027</v>
      </c>
      <c r="Y40" s="2" t="str">
        <v>purchase</v>
      </c>
      <c r="Z40" s="1">
        <v>648</v>
      </c>
      <c r="AA40" s="1">
        <v>0.26</v>
      </c>
      <c r="AB40" s="1">
        <v>0.9</v>
      </c>
      <c r="AC40" s="13">
        <v>15</v>
      </c>
      <c r="AD40" s="13">
        <v>275000</v>
      </c>
      <c r="AE40" s="13">
        <v>271198.61</v>
      </c>
      <c r="AF40" s="17">
        <v>6.6000000000000003E-2</v>
      </c>
      <c r="AG40" s="1">
        <v>2</v>
      </c>
      <c r="AH40" s="2">
        <v>0</v>
      </c>
      <c r="AI40" s="1">
        <v>30</v>
      </c>
      <c r="AJ40" s="1">
        <v>28</v>
      </c>
      <c r="AL40" s="17" cm="1">
        <f t="array" ref="AL40">_xll.Domino.MLModel.GetLoanProbabilityOfDefault($Z40,$AA40,$AB40,$AC40,$AD40,$AF40,$AG40,$AH40,$Y40,1)</f>
        <v>2.403569221496582E-2</v>
      </c>
      <c r="AM40" s="17" cm="1">
        <f t="array" ref="AM40">_xll.Domino.MLModel.GetLoanProbabilityOfDefault($Z40,$AA40,$AB40,$AC40,$AD40,$AF40,$AG40,$AH40,$Y40,2)</f>
        <v>4.7493669929679072E-2</v>
      </c>
      <c r="AN40" s="17" cm="1">
        <f t="array" ref="AN40">_xll.Domino.MLModel.GetLoanProbabilityOfDefault($Z40,$AA40,$AB40,$AC40,$AD40,$AF40,$AG40,$AH40,$Y40,5)</f>
        <v>0.11453851300325579</v>
      </c>
      <c r="AO40" s="17" cm="1">
        <f t="array" ref="AO40">_xll.Domino.MLModel.GetLoanProbabilityOfDefault($Z40,$AA40,$AB40,$AC40,$AD40,$AF40,$AG40,$AH40,$Y40,10)</f>
        <v>0.21595795504551463</v>
      </c>
      <c r="AP40" s="17" cm="1">
        <f t="array" ref="AP40">_xll.Domino.MLModel.GetLoanProbabilityOfDefault($Z40,$AA40,$AB40,$AC40,$AD40,$AF40,$AG40,$AH40,$Y40,30)</f>
        <v>0.51803216229147886</v>
      </c>
      <c r="AQ40" s="17" cm="1">
        <f t="array" ref="AQ40">_xll.Domino.MLModel.GetLoanProbabilityOfDefault($Z40,$AA40,$AB40,$AC40,$AD40,$AF40,$AG40,$AH40,$Y40,AJ40)</f>
        <v>0.49400038352192499</v>
      </c>
      <c r="AS40" s="2" t="str" cm="1">
        <f t="array" ref="AS40:AW40">_xll.Domino.MLModel.GetExpectedLoss(AL40,AQ40,AB40,AE40,AJ40,$M$14:$M$20,$O$14:$O$20)</f>
        <v>B</v>
      </c>
      <c r="AT40" s="19">
        <v>0.3</v>
      </c>
      <c r="AU40" s="18">
        <v>40191.66520518389</v>
      </c>
      <c r="AV40" s="18">
        <v>588.68716875929204</v>
      </c>
      <c r="AW40" s="18">
        <v>135599.30499999999</v>
      </c>
    </row>
    <row r="41" spans="11:49" x14ac:dyDescent="0.45">
      <c r="L41" s="2" t="str">
        <v>30Y</v>
      </c>
      <c r="M41" s="16">
        <v>30</v>
      </c>
      <c r="N41" s="15">
        <v>0.27444600000000002</v>
      </c>
      <c r="O41" s="14">
        <v>4.3099999999999999E-2</v>
      </c>
      <c r="P41" s="14">
        <v>1.3899999999999999E-2</v>
      </c>
      <c r="Q41" s="14">
        <v>1.9300000000000001E-2</v>
      </c>
      <c r="R41" s="14">
        <v>2.9000000000000001E-2</v>
      </c>
      <c r="S41" s="14">
        <v>4.5400000000000003E-2</v>
      </c>
      <c r="T41" s="14">
        <v>7.0400000000000004E-2</v>
      </c>
      <c r="U41" s="14">
        <v>0.10979999999999999</v>
      </c>
      <c r="X41" s="2" t="str">
        <v>L028</v>
      </c>
      <c r="Y41" s="2" t="str">
        <v>refi</v>
      </c>
      <c r="Z41" s="1">
        <v>749</v>
      </c>
      <c r="AA41" s="1">
        <v>0.36</v>
      </c>
      <c r="AB41" s="1">
        <v>0.81</v>
      </c>
      <c r="AC41" s="13">
        <v>50</v>
      </c>
      <c r="AD41" s="13">
        <v>100000</v>
      </c>
      <c r="AE41" s="13">
        <v>89823.31</v>
      </c>
      <c r="AF41" s="17">
        <v>4.2999999999999997E-2</v>
      </c>
      <c r="AG41" s="1">
        <v>2</v>
      </c>
      <c r="AH41" s="2">
        <v>0</v>
      </c>
      <c r="AI41" s="1">
        <v>25</v>
      </c>
      <c r="AJ41" s="1">
        <v>20</v>
      </c>
      <c r="AL41" s="17" cm="1">
        <f t="array" ref="AL41">_xll.Domino.MLModel.GetLoanProbabilityOfDefault($Z41,$AA41,$AB41,$AC41,$AD41,$AF41,$AG41,$AH41,$Y41,1)</f>
        <v>8.9979171752929688E-4</v>
      </c>
      <c r="AM41" s="17" cm="1">
        <f t="array" ref="AM41">_xll.Domino.MLModel.GetLoanProbabilityOfDefault($Z41,$AA41,$AB41,$AC41,$AD41,$AF41,$AG41,$AH41,$Y41,2)</f>
        <v>1.7987738099236594E-3</v>
      </c>
      <c r="AN41" s="17" cm="1">
        <f t="array" ref="AN41">_xll.Domino.MLModel.GetLoanProbabilityOfDefault($Z41,$AA41,$AB41,$AC41,$AD41,$AF41,$AG41,$AH41,$Y41,5)</f>
        <v>4.4908696179600804E-3</v>
      </c>
      <c r="AO41" s="17" cm="1">
        <f t="array" ref="AO41">_xll.Domino.MLModel.GetLoanProbabilityOfDefault($Z41,$AA41,$AB41,$AC41,$AD41,$AF41,$AG41,$AH41,$Y41,10)</f>
        <v>8.9615713259948437E-3</v>
      </c>
      <c r="AP41" s="17" cm="1">
        <f t="array" ref="AP41">_xll.Domino.MLModel.GetLoanProbabilityOfDefault($Z41,$AA41,$AB41,$AC41,$AD41,$AF41,$AG41,$AH41,$Y41,30)</f>
        <v>2.6644504397739799E-2</v>
      </c>
      <c r="AQ41" s="17" cm="1">
        <f t="array" ref="AQ41">_xll.Domino.MLModel.GetLoanProbabilityOfDefault($Z41,$AA41,$AB41,$AC41,$AD41,$AF41,$AG41,$AH41,$Y41,AJ41)</f>
        <v>1.7842832891358684E-2</v>
      </c>
      <c r="AS41" s="2" t="str" cm="1">
        <f t="array" ref="AS41:AW41">_xll.Domino.MLModel.GetExpectedLoss(AL41,AQ41,AB41,AE41,AJ41,$M$14:$M$20,$O$14:$O$20)</f>
        <v>AA</v>
      </c>
      <c r="AT41" s="19">
        <v>0.21</v>
      </c>
      <c r="AU41" s="18">
        <v>336.56748511652899</v>
      </c>
      <c r="AV41" s="18">
        <v>100.56443628402243</v>
      </c>
      <c r="AW41" s="18">
        <v>44911.654999999999</v>
      </c>
    </row>
    <row r="42" spans="11:49" x14ac:dyDescent="0.45">
      <c r="K42" s="12"/>
      <c r="M42" s="16"/>
      <c r="N42" s="15"/>
      <c r="O42" s="14"/>
      <c r="P42" s="14"/>
      <c r="Q42" s="14"/>
      <c r="R42" s="14"/>
      <c r="S42" s="14"/>
      <c r="T42" s="14"/>
      <c r="U42" s="14"/>
      <c r="X42" s="2" t="str">
        <v>L029</v>
      </c>
      <c r="Y42" s="2" t="str">
        <v>refi</v>
      </c>
      <c r="Z42" s="1">
        <v>740</v>
      </c>
      <c r="AA42" s="1">
        <v>0.23</v>
      </c>
      <c r="AB42" s="1">
        <v>0.92</v>
      </c>
      <c r="AC42" s="13">
        <v>89</v>
      </c>
      <c r="AD42" s="13">
        <v>285000</v>
      </c>
      <c r="AE42" s="13">
        <v>174473.86</v>
      </c>
      <c r="AF42" s="17">
        <v>5.8000000000000003E-2</v>
      </c>
      <c r="AG42" s="1">
        <v>13</v>
      </c>
      <c r="AH42" s="2">
        <v>0</v>
      </c>
      <c r="AI42" s="1">
        <v>15</v>
      </c>
      <c r="AJ42" s="1">
        <v>7</v>
      </c>
      <c r="AL42" s="17" cm="1">
        <f t="array" ref="AL42">_xll.Domino.MLModel.GetLoanProbabilityOfDefault($Z42,$AA42,$AB42,$AC42,$AD42,$AF42,$AG42,$AH42,$Y42,1)</f>
        <v>4.4608712196350098E-3</v>
      </c>
      <c r="AM42" s="17" cm="1">
        <f t="array" ref="AM42">_xll.Domino.MLModel.GetLoanProbabilityOfDefault($Z42,$AA42,$AB42,$AC42,$AD42,$AF42,$AG42,$AH42,$Y42,2)</f>
        <v>8.9018430672318516E-3</v>
      </c>
      <c r="AN42" s="17" cm="1">
        <f t="array" ref="AN42">_xll.Domino.MLModel.GetLoanProbabilityOfDefault($Z42,$AA42,$AB42,$AC42,$AD42,$AF42,$AG42,$AH42,$Y42,5)</f>
        <v>2.210624808499484E-2</v>
      </c>
      <c r="AO42" s="17" cm="1">
        <f t="array" ref="AO42">_xll.Domino.MLModel.GetLoanProbabilityOfDefault($Z42,$AA42,$AB42,$AC42,$AD42,$AF42,$AG42,$AH42,$Y42,10)</f>
        <v>4.3723809965594551E-2</v>
      </c>
      <c r="AP42" s="17" cm="1">
        <f t="array" ref="AP42">_xll.Domino.MLModel.GetLoanProbabilityOfDefault($Z42,$AA42,$AB42,$AC42,$AD42,$AF42,$AG42,$AH42,$Y42,30)</f>
        <v>0.12551970515935684</v>
      </c>
      <c r="AQ42" s="17" cm="1">
        <f t="array" ref="AQ42">_xll.Domino.MLModel.GetLoanProbabilityOfDefault($Z42,$AA42,$AB42,$AC42,$AD42,$AF42,$AG42,$AH42,$Y42,AJ42)</f>
        <v>3.0811304800968831E-2</v>
      </c>
      <c r="AS42" s="2" t="str" cm="1">
        <f t="array" ref="AS42:AW42">_xll.Domino.MLModel.GetExpectedLoss(AL42,AQ42,AB42,AE42,AJ42,$M$14:$M$20,$O$14:$O$20)</f>
        <v>BBB</v>
      </c>
      <c r="AT42" s="19">
        <v>0.32</v>
      </c>
      <c r="AU42" s="18">
        <v>1720.2455296836988</v>
      </c>
      <c r="AV42" s="18">
        <v>1100.6127062914065</v>
      </c>
      <c r="AW42" s="18">
        <v>130855.39499999999</v>
      </c>
    </row>
    <row r="43" spans="11:49" x14ac:dyDescent="0.45">
      <c r="M43" s="16"/>
      <c r="N43" s="15"/>
      <c r="O43" s="14"/>
      <c r="P43" s="14"/>
      <c r="Q43" s="14"/>
      <c r="R43" s="14"/>
      <c r="S43" s="14"/>
      <c r="T43" s="14"/>
      <c r="U43" s="14"/>
      <c r="X43" s="2" t="str">
        <v>L030</v>
      </c>
      <c r="Y43" s="2" t="str">
        <v>refi</v>
      </c>
      <c r="Z43" s="1">
        <v>717</v>
      </c>
      <c r="AA43" s="1">
        <v>0.18</v>
      </c>
      <c r="AB43" s="1">
        <v>0.78</v>
      </c>
      <c r="AC43" s="13">
        <v>22</v>
      </c>
      <c r="AD43" s="13">
        <v>355000</v>
      </c>
      <c r="AE43" s="13">
        <v>346186.59</v>
      </c>
      <c r="AF43" s="17">
        <v>0.08</v>
      </c>
      <c r="AG43" s="1">
        <v>2</v>
      </c>
      <c r="AH43" s="2">
        <v>0</v>
      </c>
      <c r="AI43" s="1">
        <v>25</v>
      </c>
      <c r="AJ43" s="1">
        <v>23</v>
      </c>
      <c r="AL43" s="17" cm="1">
        <f t="array" ref="AL43">_xll.Domino.MLModel.GetLoanProbabilityOfDefault($Z43,$AA43,$AB43,$AC43,$AD43,$AF43,$AG43,$AH43,$Y43,1)</f>
        <v>9.2947483062744141E-3</v>
      </c>
      <c r="AM43" s="17" cm="1">
        <f t="array" ref="AM43">_xll.Domino.MLModel.GetLoanProbabilityOfDefault($Z43,$AA43,$AB43,$AC43,$AD43,$AF43,$AG43,$AH43,$Y43,2)</f>
        <v>1.8503104266471837E-2</v>
      </c>
      <c r="AN43" s="17" cm="1">
        <f t="array" ref="AN43">_xll.Domino.MLModel.GetLoanProbabilityOfDefault($Z43,$AA43,$AB43,$AC43,$AD43,$AF43,$AG43,$AH43,$Y43,5)</f>
        <v>4.5617810772911271E-2</v>
      </c>
      <c r="AO43" s="17" cm="1">
        <f t="array" ref="AO43">_xll.Domino.MLModel.GetLoanProbabilityOfDefault($Z43,$AA43,$AB43,$AC43,$AD43,$AF43,$AG43,$AH43,$Y43,10)</f>
        <v>8.9154636886109362E-2</v>
      </c>
      <c r="AP43" s="17" cm="1">
        <f t="array" ref="AP43">_xll.Domino.MLModel.GetLoanProbabilityOfDefault($Z43,$AA43,$AB43,$AC43,$AD43,$AF43,$AG43,$AH43,$Y43,30)</f>
        <v>0.24432691284812358</v>
      </c>
      <c r="AQ43" s="17" cm="1">
        <f t="array" ref="AQ43">_xll.Domino.MLModel.GetLoanProbabilityOfDefault($Z43,$AA43,$AB43,$AC43,$AD43,$AF43,$AG43,$AH43,$Y43,AJ43)</f>
        <v>0.19328023199246869</v>
      </c>
      <c r="AS43" s="2" t="str" cm="1">
        <f t="array" ref="AS43:AW43">_xll.Domino.MLModel.GetExpectedLoss(AL43,AQ43,AB43,AE43,AJ43,$M$14:$M$20,$O$14:$O$20)</f>
        <v>BB</v>
      </c>
      <c r="AT43" s="19">
        <v>0.18</v>
      </c>
      <c r="AU43" s="18">
        <v>12043.984397018719</v>
      </c>
      <c r="AV43" s="18">
        <v>1000.1953341956083</v>
      </c>
      <c r="AW43" s="18">
        <v>121165.30650000001</v>
      </c>
    </row>
    <row r="44" spans="11:49" x14ac:dyDescent="0.45">
      <c r="L44" s="2" t="str">
        <f>_xlfn.CONCAT("Risk Free Rate for ", TEXT(K14, "D-M-YYYY"))</f>
        <v>Risk Free Rate for 2-1-2024</v>
      </c>
      <c r="M44" s="16"/>
      <c r="N44" s="15"/>
      <c r="O44" s="14"/>
      <c r="P44" s="14"/>
      <c r="Q44" s="14"/>
      <c r="R44" s="14"/>
      <c r="S44" s="14"/>
      <c r="T44" s="14" t="str">
        <f>_xlfn.CONCAT("Credit Spreads for ", TEXT(K14, "D-M-YYYY"))</f>
        <v>Credit Spreads for 2-1-2024</v>
      </c>
      <c r="U44" s="14"/>
      <c r="X44" s="2" t="str">
        <v>L031</v>
      </c>
      <c r="Y44" s="2" t="str">
        <v>purchase</v>
      </c>
      <c r="Z44" s="1">
        <v>723</v>
      </c>
      <c r="AA44" s="1">
        <v>0.3</v>
      </c>
      <c r="AB44" s="1">
        <v>0.81</v>
      </c>
      <c r="AC44" s="13">
        <v>36</v>
      </c>
      <c r="AD44" s="13">
        <v>420000</v>
      </c>
      <c r="AE44" s="13">
        <v>404680.56</v>
      </c>
      <c r="AF44" s="17">
        <v>6.4000000000000001E-2</v>
      </c>
      <c r="AG44" s="1">
        <v>4</v>
      </c>
      <c r="AH44" s="2">
        <v>0</v>
      </c>
      <c r="AI44" s="1">
        <v>30</v>
      </c>
      <c r="AJ44" s="1">
        <v>27</v>
      </c>
      <c r="AL44" s="17" cm="1">
        <f t="array" ref="AL44">_xll.Domino.MLModel.GetLoanProbabilityOfDefault($Z44,$AA44,$AB44,$AC44,$AD44,$AF44,$AG44,$AH44,$Y44,1)</f>
        <v>2.6550650596618652E-2</v>
      </c>
      <c r="AM44" s="17" cm="1">
        <f t="array" ref="AM44">_xll.Domino.MLModel.GetLoanProbabilityOfDefault($Z44,$AA44,$AB44,$AC44,$AD44,$AF44,$AG44,$AH44,$Y44,2)</f>
        <v>5.2396364146133578E-2</v>
      </c>
      <c r="AN44" s="17" cm="1">
        <f t="array" ref="AN44">_xll.Domino.MLModel.GetLoanProbabilityOfDefault($Z44,$AA44,$AB44,$AC44,$AD44,$AF44,$AG44,$AH44,$Y44,5)</f>
        <v>0.12588857639713724</v>
      </c>
      <c r="AO44" s="17" cm="1">
        <f t="array" ref="AO44">_xll.Domino.MLModel.GetLoanProbabilityOfDefault($Z44,$AA44,$AB44,$AC44,$AD44,$AF44,$AG44,$AH44,$Y44,10)</f>
        <v>0.23592921912697662</v>
      </c>
      <c r="AP44" s="17" cm="1">
        <f t="array" ref="AP44">_xll.Domino.MLModel.GetLoanProbabilityOfDefault($Z44,$AA44,$AB44,$AC44,$AD44,$AF44,$AG44,$AH44,$Y44,30)</f>
        <v>0.55393230097950052</v>
      </c>
      <c r="AQ44" s="17" cm="1">
        <f t="array" ref="AQ44">_xll.Domino.MLModel.GetLoanProbabilityOfDefault($Z44,$AA44,$AB44,$AC44,$AD44,$AF44,$AG44,$AH44,$Y44,AJ44)</f>
        <v>0.51642849868435325</v>
      </c>
      <c r="AS44" s="2" t="str" cm="1">
        <f t="array" ref="AS44:AW44">_xll.Domino.MLModel.GetExpectedLoss(AL44,AQ44,AB44,AE44,AJ44,$M$14:$M$20,$O$14:$O$20)</f>
        <v>B</v>
      </c>
      <c r="AT44" s="19">
        <v>0.21</v>
      </c>
      <c r="AU44" s="18">
        <v>43887.600549984098</v>
      </c>
      <c r="AV44" s="18">
        <v>787.4635717690968</v>
      </c>
      <c r="AW44" s="18">
        <v>202340.28</v>
      </c>
    </row>
    <row r="45" spans="11:49" x14ac:dyDescent="0.45">
      <c r="M45" s="16"/>
      <c r="N45" s="15"/>
      <c r="O45" s="14"/>
      <c r="P45" s="14"/>
      <c r="Q45" s="14"/>
      <c r="R45" s="14"/>
      <c r="S45" s="14"/>
      <c r="T45" s="14"/>
      <c r="U45" s="14"/>
      <c r="X45" s="2" t="str">
        <v>L032</v>
      </c>
      <c r="Y45" s="2" t="str">
        <v>refi</v>
      </c>
      <c r="Z45" s="1">
        <v>738</v>
      </c>
      <c r="AA45" s="1">
        <v>0.38</v>
      </c>
      <c r="AB45" s="1">
        <v>0.77</v>
      </c>
      <c r="AC45" s="13">
        <v>37</v>
      </c>
      <c r="AD45" s="13">
        <v>200000</v>
      </c>
      <c r="AE45" s="13">
        <v>183167.53</v>
      </c>
      <c r="AF45" s="17">
        <v>6.4000000000000001E-2</v>
      </c>
      <c r="AG45" s="1">
        <v>4</v>
      </c>
      <c r="AH45" s="2">
        <v>0</v>
      </c>
      <c r="AI45" s="1">
        <v>20</v>
      </c>
      <c r="AJ45" s="1">
        <v>16</v>
      </c>
      <c r="AL45" s="17" cm="1">
        <f t="array" ref="AL45">_xll.Domino.MLModel.GetLoanProbabilityOfDefault($Z45,$AA45,$AB45,$AC45,$AD45,$AF45,$AG45,$AH45,$Y45,1)</f>
        <v>5.8461427688598633E-3</v>
      </c>
      <c r="AM45" s="17" cm="1">
        <f t="array" ref="AM45">_xll.Domino.MLModel.GetLoanProbabilityOfDefault($Z45,$AA45,$AB45,$AC45,$AD45,$AF45,$AG45,$AH45,$Y45,2)</f>
        <v>1.1658108152445834E-2</v>
      </c>
      <c r="AN45" s="17" cm="1">
        <f t="array" ref="AN45">_xll.Domino.MLModel.GetLoanProbabilityOfDefault($Z45,$AA45,$AB45,$AC45,$AD45,$AF45,$AG45,$AH45,$Y45,5)</f>
        <v>2.8890932216658616E-2</v>
      </c>
      <c r="AO45" s="17" cm="1">
        <f t="array" ref="AO45">_xll.Domino.MLModel.GetLoanProbabilityOfDefault($Z45,$AA45,$AB45,$AC45,$AD45,$AF45,$AG45,$AH45,$Y45,10)</f>
        <v>5.6947178468969795E-2</v>
      </c>
      <c r="AP45" s="17" cm="1">
        <f t="array" ref="AP45">_xll.Domino.MLModel.GetLoanProbabilityOfDefault($Z45,$AA45,$AB45,$AC45,$AD45,$AF45,$AG45,$AH45,$Y45,30)</f>
        <v>0.16129727062567856</v>
      </c>
      <c r="AQ45" s="17" cm="1">
        <f t="array" ref="AQ45">_xll.Domino.MLModel.GetLoanProbabilityOfDefault($Z45,$AA45,$AB45,$AC45,$AD45,$AF45,$AG45,$AH45,$Y45,AJ45)</f>
        <v>8.9546792939074749E-2</v>
      </c>
      <c r="AS45" s="2" t="str" cm="1">
        <f t="array" ref="AS45:AW45">_xll.Domino.MLModel.GetExpectedLoss(AL45,AQ45,AB45,AE45,AJ45,$M$14:$M$20,$O$14:$O$20)</f>
        <v>BB</v>
      </c>
      <c r="AT45" s="19">
        <v>0.17</v>
      </c>
      <c r="AU45" s="18">
        <v>2788.3510299521986</v>
      </c>
      <c r="AV45" s="18">
        <v>573.13751053107512</v>
      </c>
      <c r="AW45" s="18">
        <v>64108.635499999997</v>
      </c>
    </row>
    <row r="46" spans="11:49" x14ac:dyDescent="0.45">
      <c r="M46" s="16"/>
      <c r="N46" s="15"/>
      <c r="O46" s="14"/>
      <c r="P46" s="14"/>
      <c r="Q46" s="14"/>
      <c r="R46" s="14"/>
      <c r="S46" s="14"/>
      <c r="T46" s="14"/>
      <c r="U46" s="14"/>
      <c r="X46" s="2" t="str">
        <v>L033</v>
      </c>
      <c r="Y46" s="2" t="str">
        <v>purchase</v>
      </c>
      <c r="Z46" s="1">
        <v>769</v>
      </c>
      <c r="AA46" s="1">
        <v>0.22</v>
      </c>
      <c r="AB46" s="1">
        <v>0.85</v>
      </c>
      <c r="AC46" s="13">
        <v>60</v>
      </c>
      <c r="AD46" s="13">
        <v>175000</v>
      </c>
      <c r="AE46" s="13">
        <v>154516.24</v>
      </c>
      <c r="AF46" s="17">
        <v>4.8000000000000001E-2</v>
      </c>
      <c r="AG46" s="1">
        <v>1</v>
      </c>
      <c r="AH46" s="2">
        <v>0</v>
      </c>
      <c r="AI46" s="1">
        <v>25</v>
      </c>
      <c r="AJ46" s="1">
        <v>20</v>
      </c>
      <c r="AL46" s="17" cm="1">
        <f t="array" ref="AL46">_xll.Domino.MLModel.GetLoanProbabilityOfDefault($Z46,$AA46,$AB46,$AC46,$AD46,$AF46,$AG46,$AH46,$Y46,1)</f>
        <v>3.5207867622375488E-3</v>
      </c>
      <c r="AM46" s="17" cm="1">
        <f t="array" ref="AM46">_xll.Domino.MLModel.GetLoanProbabilityOfDefault($Z46,$AA46,$AB46,$AC46,$AD46,$AF46,$AG46,$AH46,$Y46,2)</f>
        <v>7.0291775850499505E-3</v>
      </c>
      <c r="AN46" s="17" cm="1">
        <f t="array" ref="AN46">_xll.Domino.MLModel.GetLoanProbabilityOfDefault($Z46,$AA46,$AB46,$AC46,$AD46,$AF46,$AG46,$AH46,$Y46,5)</f>
        <v>1.7480410083774989E-2</v>
      </c>
      <c r="AO46" s="17" cm="1">
        <f t="array" ref="AO46">_xll.Domino.MLModel.GetLoanProbabilityOfDefault($Z46,$AA46,$AB46,$AC46,$AD46,$AF46,$AG46,$AH46,$Y46,10)</f>
        <v>3.4655255430853127E-2</v>
      </c>
      <c r="AP46" s="17" cm="1">
        <f t="array" ref="AP46">_xll.Domino.MLModel.GetLoanProbabilityOfDefault($Z46,$AA46,$AB46,$AC46,$AD46,$AF46,$AG46,$AH46,$Y46,30)</f>
        <v>0.10040442660748816</v>
      </c>
      <c r="AQ46" s="17" cm="1">
        <f t="array" ref="AQ46">_xll.Domino.MLModel.GetLoanProbabilityOfDefault($Z46,$AA46,$AB46,$AC46,$AD46,$AF46,$AG46,$AH46,$Y46,AJ46)</f>
        <v>6.8109524132728638E-2</v>
      </c>
      <c r="AS46" s="2" t="str" cm="1">
        <f t="array" ref="AS46:AW46">_xll.Domino.MLModel.GetExpectedLoss(AL46,AQ46,AB46,AE46,AJ46,$M$14:$M$20,$O$14:$O$20)</f>
        <v>BBB</v>
      </c>
      <c r="AT46" s="19">
        <v>0.25</v>
      </c>
      <c r="AU46" s="18">
        <v>2631.0068942946209</v>
      </c>
      <c r="AV46" s="18">
        <v>536.5296903959636</v>
      </c>
      <c r="AW46" s="18">
        <v>77258.12</v>
      </c>
    </row>
    <row r="47" spans="11:49" x14ac:dyDescent="0.45">
      <c r="M47" s="16"/>
      <c r="N47" s="15"/>
      <c r="O47" s="14"/>
      <c r="P47" s="14"/>
      <c r="Q47" s="14"/>
      <c r="R47" s="14"/>
      <c r="S47" s="14"/>
      <c r="T47" s="14"/>
      <c r="U47" s="14"/>
      <c r="X47" s="2" t="str">
        <v>L034</v>
      </c>
      <c r="Y47" s="2" t="str">
        <v>refi</v>
      </c>
      <c r="Z47" s="1">
        <v>689</v>
      </c>
      <c r="AA47" s="1">
        <v>0.37</v>
      </c>
      <c r="AB47" s="1">
        <v>0.92</v>
      </c>
      <c r="AC47" s="13">
        <v>19</v>
      </c>
      <c r="AD47" s="13">
        <v>355000</v>
      </c>
      <c r="AE47" s="13">
        <v>349059.63</v>
      </c>
      <c r="AF47" s="17">
        <v>6.9000000000000006E-2</v>
      </c>
      <c r="AG47" s="1">
        <v>3</v>
      </c>
      <c r="AH47" s="2">
        <v>0</v>
      </c>
      <c r="AI47" s="1">
        <v>30</v>
      </c>
      <c r="AJ47" s="1">
        <v>28</v>
      </c>
      <c r="AL47" s="17" cm="1">
        <f t="array" ref="AL47">_xll.Domino.MLModel.GetLoanProbabilityOfDefault($Z47,$AA47,$AB47,$AC47,$AD47,$AF47,$AG47,$AH47,$Y47,1)</f>
        <v>3.948366641998291E-2</v>
      </c>
      <c r="AM47" s="17" cm="1">
        <f t="array" ref="AM47">_xll.Domino.MLModel.GetLoanProbabilityOfDefault($Z47,$AA47,$AB47,$AC47,$AD47,$AF47,$AG47,$AH47,$Y47,2)</f>
        <v>7.7408372926001334E-2</v>
      </c>
      <c r="AN47" s="17" cm="1">
        <f t="array" ref="AN47">_xll.Domino.MLModel.GetLoanProbabilityOfDefault($Z47,$AA47,$AB47,$AC47,$AD47,$AF47,$AG47,$AH47,$Y47,5)</f>
        <v>0.18243221167162005</v>
      </c>
      <c r="AO47" s="17" cm="1">
        <f t="array" ref="AO47">_xll.Domino.MLModel.GetLoanProbabilityOfDefault($Z47,$AA47,$AB47,$AC47,$AD47,$AF47,$AG47,$AH47,$Y47,10)</f>
        <v>0.33158291148784136</v>
      </c>
      <c r="AP47" s="17" cm="1">
        <f t="array" ref="AP47">_xll.Domino.MLModel.GetLoanProbabilityOfDefault($Z47,$AA47,$AB47,$AC47,$AD47,$AF47,$AG47,$AH47,$Y47,30)</f>
        <v>0.70136367459318838</v>
      </c>
      <c r="AQ47" s="17" cm="1">
        <f t="array" ref="AQ47">_xll.Domino.MLModel.GetLoanProbabilityOfDefault($Z47,$AA47,$AB47,$AC47,$AD47,$AF47,$AG47,$AH47,$Y47,AJ47)</f>
        <v>0.6763071367188348</v>
      </c>
      <c r="AS47" s="2" t="str" cm="1">
        <f t="array" ref="AS47:AW47">_xll.Domino.MLModel.GetExpectedLoss(AL47,AQ47,AB47,AE47,AJ47,$M$14:$M$20,$O$14:$O$20)</f>
        <v>B</v>
      </c>
      <c r="AT47" s="19">
        <v>0.32</v>
      </c>
      <c r="AU47" s="18">
        <v>75542.886051019523</v>
      </c>
      <c r="AV47" s="18">
        <v>1106.4763672330912</v>
      </c>
      <c r="AW47" s="18">
        <v>261794.7225</v>
      </c>
    </row>
    <row r="48" spans="11:49" x14ac:dyDescent="0.45">
      <c r="M48" s="16"/>
      <c r="N48" s="15"/>
      <c r="O48" s="14"/>
      <c r="P48" s="14"/>
      <c r="Q48" s="14"/>
      <c r="R48" s="14"/>
      <c r="S48" s="14"/>
      <c r="T48" s="14"/>
      <c r="U48" s="14"/>
      <c r="X48" s="2" t="str">
        <v>L035</v>
      </c>
      <c r="Y48" s="2" t="str">
        <v>refi</v>
      </c>
      <c r="Z48" s="1">
        <v>689</v>
      </c>
      <c r="AA48" s="1">
        <v>0.26</v>
      </c>
      <c r="AB48" s="1">
        <v>0.94</v>
      </c>
      <c r="AC48" s="13">
        <v>19</v>
      </c>
      <c r="AD48" s="13">
        <v>260000</v>
      </c>
      <c r="AE48" s="13">
        <v>255482.12</v>
      </c>
      <c r="AF48" s="17">
        <v>6.7000000000000004E-2</v>
      </c>
      <c r="AG48" s="1">
        <v>14</v>
      </c>
      <c r="AH48" s="2">
        <v>0</v>
      </c>
      <c r="AI48" s="1">
        <v>30</v>
      </c>
      <c r="AJ48" s="1">
        <v>28</v>
      </c>
      <c r="AL48" s="17" cm="1">
        <f t="array" ref="AL48">_xll.Domino.MLModel.GetLoanProbabilityOfDefault($Z48,$AA48,$AB48,$AC48,$AD48,$AF48,$AG48,$AH48,$Y48,1)</f>
        <v>2.9636383056640625E-2</v>
      </c>
      <c r="AM48" s="17" cm="1">
        <f t="array" ref="AM48">_xll.Domino.MLModel.GetLoanProbabilityOfDefault($Z48,$AA48,$AB48,$AC48,$AD48,$AF48,$AG48,$AH48,$Y48,2)</f>
        <v>5.8394450912601314E-2</v>
      </c>
      <c r="AN48" s="17" cm="1">
        <f t="array" ref="AN48">_xll.Domino.MLModel.GetLoanProbabilityOfDefault($Z48,$AA48,$AB48,$AC48,$AD48,$AF48,$AG48,$AH48,$Y48,5)</f>
        <v>0.1396552298083833</v>
      </c>
      <c r="AO48" s="17" cm="1">
        <f t="array" ref="AO48">_xll.Domino.MLModel.GetLoanProbabilityOfDefault($Z48,$AA48,$AB48,$AC48,$AD48,$AF48,$AG48,$AH48,$Y48,10)</f>
        <v>0.25980687640393407</v>
      </c>
      <c r="AP48" s="17" cm="1">
        <f t="array" ref="AP48">_xll.Domino.MLModel.GetLoanProbabilityOfDefault($Z48,$AA48,$AB48,$AC48,$AD48,$AF48,$AG48,$AH48,$Y48,30)</f>
        <v>0.59445865375045426</v>
      </c>
      <c r="AQ48" s="17" cm="1">
        <f t="array" ref="AQ48">_xll.Domino.MLModel.GetLoanProbabilityOfDefault($Z48,$AA48,$AB48,$AC48,$AD48,$AF48,$AG48,$AH48,$Y48,AJ48)</f>
        <v>0.56930867002366836</v>
      </c>
      <c r="AS48" s="2" t="str" cm="1">
        <f t="array" ref="AS48:AW48">_xll.Domino.MLModel.GetExpectedLoss(AL48,AQ48,AB48,AE48,AJ48,$M$14:$M$20,$O$14:$O$20)</f>
        <v>B</v>
      </c>
      <c r="AT48" s="19">
        <v>0.34</v>
      </c>
      <c r="AU48" s="18">
        <v>49452.383223689227</v>
      </c>
      <c r="AV48" s="18">
        <v>724.32887066839623</v>
      </c>
      <c r="AW48" s="18">
        <v>191611.59</v>
      </c>
    </row>
    <row r="49" spans="11:49" x14ac:dyDescent="0.45">
      <c r="K49" s="12"/>
      <c r="M49" s="16"/>
      <c r="N49" s="15"/>
      <c r="O49" s="14"/>
      <c r="P49" s="14"/>
      <c r="Q49" s="14"/>
      <c r="R49" s="14"/>
      <c r="S49" s="14"/>
      <c r="T49" s="14"/>
      <c r="U49" s="14"/>
      <c r="X49" s="2" t="str">
        <v>L036</v>
      </c>
      <c r="Y49" s="2" t="str">
        <v>refi</v>
      </c>
      <c r="Z49" s="1">
        <v>684</v>
      </c>
      <c r="AA49" s="1">
        <v>0.35</v>
      </c>
      <c r="AB49" s="1">
        <v>0.95</v>
      </c>
      <c r="AC49" s="13">
        <v>93</v>
      </c>
      <c r="AD49" s="13">
        <v>335000</v>
      </c>
      <c r="AE49" s="13">
        <v>241266.52</v>
      </c>
      <c r="AF49" s="17">
        <v>4.8000000000000001E-2</v>
      </c>
      <c r="AG49" s="1">
        <v>5</v>
      </c>
      <c r="AH49" s="2">
        <v>1</v>
      </c>
      <c r="AI49" s="1">
        <v>20</v>
      </c>
      <c r="AJ49" s="1">
        <v>12</v>
      </c>
      <c r="AL49" s="17" cm="1">
        <f t="array" ref="AL49">_xll.Domino.MLModel.GetLoanProbabilityOfDefault($Z49,$AA49,$AB49,$AC49,$AD49,$AF49,$AG49,$AH49,$Y49,1)</f>
        <v>6.0575008392333984E-3</v>
      </c>
      <c r="AM49" s="17" cm="1">
        <f t="array" ref="AM49">_xll.Domino.MLModel.GetLoanProbabilityOfDefault($Z49,$AA49,$AB49,$AC49,$AD49,$AF49,$AG49,$AH49,$Y49,2)</f>
        <v>1.2078308362049484E-2</v>
      </c>
      <c r="AN49" s="17" cm="1">
        <f t="array" ref="AN49">_xll.Domino.MLModel.GetLoanProbabilityOfDefault($Z49,$AA49,$AB49,$AC49,$AD49,$AF49,$AG49,$AH49,$Y49,5)</f>
        <v>2.9922787006102181E-2</v>
      </c>
      <c r="AO49" s="17" cm="1">
        <f t="array" ref="AO49">_xll.Domino.MLModel.GetLoanProbabilityOfDefault($Z49,$AA49,$AB49,$AC49,$AD49,$AF49,$AG49,$AH49,$Y49,10)</f>
        <v>5.8950200829991917E-2</v>
      </c>
      <c r="AP49" s="17" cm="1">
        <f t="array" ref="AP49">_xll.Domino.MLModel.GetLoanProbabilityOfDefault($Z49,$AA49,$AB49,$AC49,$AD49,$AF49,$AG49,$AH49,$Y49,30)</f>
        <v>0.16663008334238327</v>
      </c>
      <c r="AQ49" s="17" cm="1">
        <f t="array" ref="AQ49">_xll.Domino.MLModel.GetLoanProbabilityOfDefault($Z49,$AA49,$AB49,$AC49,$AD49,$AF49,$AG49,$AH49,$Y49,AJ49)</f>
        <v>7.0316490488412042E-2</v>
      </c>
      <c r="AS49" s="2" t="str" cm="1">
        <f t="array" ref="AS49:AW49">_xll.Domino.MLModel.GetExpectedLoss(AL49,AQ49,AB49,AE49,AJ49,$M$14:$M$20,$O$14:$O$20)</f>
        <v>BB</v>
      </c>
      <c r="AT49" s="19">
        <v>0.35</v>
      </c>
      <c r="AU49" s="18">
        <v>5937.7552355632915</v>
      </c>
      <c r="AV49" s="18">
        <v>1932.1070738056465</v>
      </c>
      <c r="AW49" s="18">
        <v>180949.88999999998</v>
      </c>
    </row>
    <row r="50" spans="11:49" x14ac:dyDescent="0.45">
      <c r="M50" s="16"/>
      <c r="N50" s="15"/>
      <c r="O50" s="14"/>
      <c r="P50" s="14"/>
      <c r="Q50" s="14"/>
      <c r="R50" s="14"/>
      <c r="S50" s="14"/>
      <c r="T50" s="14"/>
      <c r="U50" s="14"/>
      <c r="X50" s="2" t="str">
        <v>L037</v>
      </c>
      <c r="Y50" s="2" t="str">
        <v>refi</v>
      </c>
      <c r="Z50" s="1">
        <v>682</v>
      </c>
      <c r="AA50" s="1">
        <v>0.31</v>
      </c>
      <c r="AB50" s="1">
        <v>0.82</v>
      </c>
      <c r="AC50" s="13">
        <v>86</v>
      </c>
      <c r="AD50" s="13">
        <v>310000</v>
      </c>
      <c r="AE50" s="13">
        <v>251344.3</v>
      </c>
      <c r="AF50" s="17">
        <v>4.2000000000000003E-2</v>
      </c>
      <c r="AG50" s="1">
        <v>2</v>
      </c>
      <c r="AH50" s="2">
        <v>0</v>
      </c>
      <c r="AI50" s="1">
        <v>25</v>
      </c>
      <c r="AJ50" s="1">
        <v>17</v>
      </c>
      <c r="AL50" s="17" cm="1">
        <f t="array" ref="AL50">_xll.Domino.MLModel.GetLoanProbabilityOfDefault($Z50,$AA50,$AB50,$AC50,$AD50,$AF50,$AG50,$AH50,$Y50,1)</f>
        <v>2.6712417602539063E-3</v>
      </c>
      <c r="AM50" s="17" cm="1">
        <f t="array" ref="AM50">_xll.Domino.MLModel.GetLoanProbabilityOfDefault($Z50,$AA50,$AB50,$AC50,$AD50,$AF50,$AG50,$AH50,$Y50,2)</f>
        <v>5.3353479879660881E-3</v>
      </c>
      <c r="AN50" s="17" cm="1">
        <f t="array" ref="AN50">_xll.Domino.MLModel.GetLoanProbabilityOfDefault($Z50,$AA50,$AB50,$AC50,$AD50,$AF50,$AG50,$AH50,$Y50,5)</f>
        <v>1.3285043828734189E-2</v>
      </c>
      <c r="AO50" s="17" cm="1">
        <f t="array" ref="AO50">_xll.Domino.MLModel.GetLoanProbabilityOfDefault($Z50,$AA50,$AB50,$AC50,$AD50,$AF50,$AG50,$AH50,$Y50,10)</f>
        <v>2.6393595267937053E-2</v>
      </c>
      <c r="AP50" s="17" cm="1">
        <f t="array" ref="AP50">_xll.Domino.MLModel.GetLoanProbabilityOfDefault($Z50,$AA50,$AB50,$AC50,$AD50,$AF50,$AG50,$AH50,$Y50,30)</f>
        <v>7.7109306546030654E-2</v>
      </c>
      <c r="AQ50" s="17" cm="1">
        <f t="array" ref="AQ50">_xll.Domino.MLModel.GetLoanProbabilityOfDefault($Z50,$AA50,$AB50,$AC50,$AD50,$AF50,$AG50,$AH50,$Y50,AJ50)</f>
        <v>4.4453518454226959E-2</v>
      </c>
      <c r="AS50" s="2" t="str" cm="1">
        <f t="array" ref="AS50:AW50">_xll.Domino.MLModel.GetExpectedLoss(AL50,AQ50,AB50,AE50,AJ50,$M$14:$M$20,$O$14:$O$20)</f>
        <v>BBB</v>
      </c>
      <c r="AT50" s="19">
        <v>0.22</v>
      </c>
      <c r="AU50" s="18">
        <v>2458.0904652512486</v>
      </c>
      <c r="AV50" s="18">
        <v>670.598162445355</v>
      </c>
      <c r="AW50" s="18">
        <v>125672.15</v>
      </c>
    </row>
    <row r="51" spans="11:49" x14ac:dyDescent="0.45">
      <c r="M51" s="16"/>
      <c r="N51" s="15"/>
      <c r="O51" s="14"/>
      <c r="P51" s="14"/>
      <c r="Q51" s="14"/>
      <c r="R51" s="14"/>
      <c r="S51" s="14"/>
      <c r="T51" s="14"/>
      <c r="U51" s="14"/>
      <c r="X51" s="2" t="str">
        <v>L038</v>
      </c>
      <c r="Y51" s="2" t="str">
        <v>refi</v>
      </c>
      <c r="Z51" s="1">
        <v>674</v>
      </c>
      <c r="AA51" s="1">
        <v>0.4</v>
      </c>
      <c r="AB51" s="1">
        <v>0.75</v>
      </c>
      <c r="AC51" s="13">
        <v>62</v>
      </c>
      <c r="AD51" s="13">
        <v>415000</v>
      </c>
      <c r="AE51" s="13">
        <v>316364.09000000003</v>
      </c>
      <c r="AF51" s="17">
        <v>6.8000000000000005E-2</v>
      </c>
      <c r="AG51" s="1">
        <v>14</v>
      </c>
      <c r="AH51" s="2">
        <v>1</v>
      </c>
      <c r="AI51" s="1">
        <v>15</v>
      </c>
      <c r="AJ51" s="1">
        <v>9</v>
      </c>
      <c r="AL51" s="17" cm="1">
        <f t="array" ref="AL51">_xll.Domino.MLModel.GetLoanProbabilityOfDefault($Z51,$AA51,$AB51,$AC51,$AD51,$AF51,$AG51,$AH51,$Y51,1)</f>
        <v>3.7993788719177246E-3</v>
      </c>
      <c r="AM51" s="17" cm="1">
        <f t="array" ref="AM51">_xll.Domino.MLModel.GetLoanProbabilityOfDefault($Z51,$AA51,$AB51,$AC51,$AD51,$AF51,$AG51,$AH51,$Y51,2)</f>
        <v>7.5843224640230744E-3</v>
      </c>
      <c r="AN51" s="17" cm="1">
        <f t="array" ref="AN51">_xll.Domino.MLModel.GetLoanProbabilityOfDefault($Z51,$AA51,$AB51,$AC51,$AD51,$AF51,$AG51,$AH51,$Y51,5)</f>
        <v>1.8853088971341303E-2</v>
      </c>
      <c r="AO51" s="17" cm="1">
        <f t="array" ref="AO51">_xll.Domino.MLModel.GetLoanProbabilityOfDefault($Z51,$AA51,$AB51,$AC51,$AD51,$AF51,$AG51,$AH51,$Y51,10)</f>
        <v>3.7350738978921383E-2</v>
      </c>
      <c r="AP51" s="17" cm="1">
        <f t="array" ref="AP51">_xll.Domino.MLModel.GetLoanProbabilityOfDefault($Z51,$AA51,$AB51,$AC51,$AD51,$AF51,$AG51,$AH51,$Y51,30)</f>
        <v>0.10791909101306252</v>
      </c>
      <c r="AQ51" s="17" cm="1">
        <f t="array" ref="AQ51">_xll.Domino.MLModel.GetLoanProbabilityOfDefault($Z51,$AA51,$AB51,$AC51,$AD51,$AF51,$AG51,$AH51,$Y51,AJ51)</f>
        <v>3.3679320606135099E-2</v>
      </c>
      <c r="AS51" s="2" t="str" cm="1">
        <f t="array" ref="AS51:AW51">_xll.Domino.MLModel.GetExpectedLoss(AL51,AQ51,AB51,AE51,AJ51,$M$14:$M$20,$O$14:$O$20)</f>
        <v>BBB</v>
      </c>
      <c r="AT51" s="19">
        <v>0.15</v>
      </c>
      <c r="AU51" s="18">
        <v>1598.239142306727</v>
      </c>
      <c r="AV51" s="18">
        <v>871.36222776512307</v>
      </c>
      <c r="AW51" s="18">
        <v>110727.43150000001</v>
      </c>
    </row>
    <row r="52" spans="11:49" x14ac:dyDescent="0.45">
      <c r="M52" s="16"/>
      <c r="N52" s="15"/>
      <c r="O52" s="14"/>
      <c r="P52" s="14"/>
      <c r="Q52" s="14"/>
      <c r="R52" s="14"/>
      <c r="S52" s="14"/>
      <c r="T52" s="14"/>
      <c r="U52" s="14"/>
      <c r="X52" s="2" t="str">
        <v>L039</v>
      </c>
      <c r="Y52" s="2" t="str">
        <v>refi</v>
      </c>
      <c r="Z52" s="1">
        <v>723</v>
      </c>
      <c r="AA52" s="1">
        <v>0.4</v>
      </c>
      <c r="AB52" s="1">
        <v>0.88</v>
      </c>
      <c r="AC52" s="13">
        <v>27</v>
      </c>
      <c r="AD52" s="13">
        <v>355000</v>
      </c>
      <c r="AE52" s="13">
        <v>346828.56</v>
      </c>
      <c r="AF52" s="17">
        <v>7.1999999999999995E-2</v>
      </c>
      <c r="AG52" s="1">
        <v>1</v>
      </c>
      <c r="AH52" s="2">
        <v>0</v>
      </c>
      <c r="AI52" s="1">
        <v>30</v>
      </c>
      <c r="AJ52" s="1">
        <v>27</v>
      </c>
      <c r="AL52" s="17" cm="1">
        <f t="array" ref="AL52">_xll.Domino.MLModel.GetLoanProbabilityOfDefault($Z52,$AA52,$AB52,$AC52,$AD52,$AF52,$AG52,$AH52,$Y52,1)</f>
        <v>2.2585928440093994E-2</v>
      </c>
      <c r="AM52" s="17" cm="1">
        <f t="array" ref="AM52">_xll.Domino.MLModel.GetLoanProbabilityOfDefault($Z52,$AA52,$AB52,$AC52,$AD52,$AF52,$AG52,$AH52,$Y52,2)</f>
        <v>4.4661732716686942E-2</v>
      </c>
      <c r="AN52" s="17" cm="1">
        <f t="array" ref="AN52">_xll.Domino.MLModel.GetLoanProbabilityOfDefault($Z52,$AA52,$AB52,$AC52,$AD52,$AF52,$AG52,$AH52,$Y52,5)</f>
        <v>0.10794232158813333</v>
      </c>
      <c r="AO52" s="17" cm="1">
        <f t="array" ref="AO52">_xll.Domino.MLModel.GetLoanProbabilityOfDefault($Z52,$AA52,$AB52,$AC52,$AD52,$AF52,$AG52,$AH52,$Y52,10)</f>
        <v>0.20423309838643067</v>
      </c>
      <c r="AP52" s="17" cm="1">
        <f t="array" ref="AP52">_xll.Domino.MLModel.GetLoanProbabilityOfDefault($Z52,$AA52,$AB52,$AC52,$AD52,$AF52,$AG52,$AH52,$Y52,30)</f>
        <v>0.49608461886267496</v>
      </c>
      <c r="AQ52" s="17" cm="1">
        <f t="array" ref="AQ52">_xll.Domino.MLModel.GetLoanProbabilityOfDefault($Z52,$AA52,$AB52,$AC52,$AD52,$AF52,$AG52,$AH52,$Y52,AJ52)</f>
        <v>0.46033798181055108</v>
      </c>
      <c r="AS52" s="2" t="str" cm="1">
        <f t="array" ref="AS52:AW52">_xll.Domino.MLModel.GetExpectedLoss(AL52,AQ52,AB52,AE52,AJ52,$M$14:$M$20,$O$14:$O$20)</f>
        <v>B</v>
      </c>
      <c r="AT52" s="19">
        <v>0.28000000000000003</v>
      </c>
      <c r="AU52" s="18">
        <v>44704.340616504691</v>
      </c>
      <c r="AV52" s="18">
        <v>802.1181220732708</v>
      </c>
      <c r="AW52" s="18">
        <v>173414.28</v>
      </c>
    </row>
    <row r="53" spans="11:49" x14ac:dyDescent="0.45">
      <c r="M53" s="16"/>
      <c r="N53" s="15"/>
      <c r="O53" s="14"/>
      <c r="P53" s="14"/>
      <c r="Q53" s="14"/>
      <c r="R53" s="14"/>
      <c r="S53" s="14"/>
      <c r="T53" s="14"/>
      <c r="U53" s="14"/>
      <c r="X53" s="2" t="str">
        <v>L040</v>
      </c>
      <c r="Y53" s="2" t="str">
        <v>refi</v>
      </c>
      <c r="Z53" s="1">
        <v>698</v>
      </c>
      <c r="AA53" s="1">
        <v>0.39</v>
      </c>
      <c r="AB53" s="1">
        <v>0.88</v>
      </c>
      <c r="AC53" s="13">
        <v>35</v>
      </c>
      <c r="AD53" s="13">
        <v>300000</v>
      </c>
      <c r="AE53" s="13">
        <v>289579.37</v>
      </c>
      <c r="AF53" s="17">
        <v>6.5000000000000002E-2</v>
      </c>
      <c r="AG53" s="1">
        <v>1</v>
      </c>
      <c r="AH53" s="2">
        <v>0</v>
      </c>
      <c r="AI53" s="1">
        <v>30</v>
      </c>
      <c r="AJ53" s="1">
        <v>27</v>
      </c>
      <c r="AL53" s="17" cm="1">
        <f t="array" ref="AL53">_xll.Domino.MLModel.GetLoanProbabilityOfDefault($Z53,$AA53,$AB53,$AC53,$AD53,$AF53,$AG53,$AH53,$Y53,1)</f>
        <v>5.3214490413665771E-2</v>
      </c>
      <c r="AM53" s="17" cm="1">
        <f t="array" ref="AM53">_xll.Domino.MLModel.GetLoanProbabilityOfDefault($Z53,$AA53,$AB53,$AC53,$AD53,$AF53,$AG53,$AH53,$Y53,2)</f>
        <v>0.10359719883734542</v>
      </c>
      <c r="AN53" s="17" cm="1">
        <f t="array" ref="AN53">_xll.Domino.MLModel.GetLoanProbabilityOfDefault($Z53,$AA53,$AB53,$AC53,$AD53,$AF53,$AG53,$AH53,$Y53,5)</f>
        <v>0.23922188230429664</v>
      </c>
      <c r="AO53" s="17" cm="1">
        <f t="array" ref="AO53">_xll.Domino.MLModel.GetLoanProbabilityOfDefault($Z53,$AA53,$AB53,$AC53,$AD53,$AF53,$AG53,$AH53,$Y53,10)</f>
        <v>0.42121665563538258</v>
      </c>
      <c r="AP53" s="17" cm="1">
        <f t="array" ref="AP53">_xll.Domino.MLModel.GetLoanProbabilityOfDefault($Z53,$AA53,$AB53,$AC53,$AD53,$AF53,$AG53,$AH53,$Y53,30)</f>
        <v>0.8061132750315565</v>
      </c>
      <c r="AQ53" s="17" cm="1">
        <f t="array" ref="AQ53">_xll.Domino.MLModel.GetLoanProbabilityOfDefault($Z53,$AA53,$AB53,$AC53,$AD53,$AF53,$AG53,$AH53,$Y53,AJ53)</f>
        <v>0.77154889273578875</v>
      </c>
      <c r="AS53" s="2" t="str" cm="1">
        <f t="array" ref="AS53:AW53">_xll.Domino.MLModel.GetExpectedLoss(AL53,AQ53,AB53,AE53,AJ53,$M$14:$M$20,$O$14:$O$20)</f>
        <v>B</v>
      </c>
      <c r="AT53" s="19">
        <v>0.28000000000000003</v>
      </c>
      <c r="AU53" s="18">
        <v>62558.899839135658</v>
      </c>
      <c r="AV53" s="18">
        <v>1122.4777407724741</v>
      </c>
      <c r="AW53" s="18">
        <v>144789.685</v>
      </c>
    </row>
    <row r="54" spans="11:49" x14ac:dyDescent="0.45">
      <c r="M54" s="16"/>
      <c r="N54" s="15"/>
      <c r="O54" s="14"/>
      <c r="P54" s="14"/>
      <c r="Q54" s="14"/>
      <c r="R54" s="14"/>
      <c r="S54" s="14"/>
      <c r="T54" s="14"/>
      <c r="U54" s="14"/>
      <c r="X54" s="2"/>
      <c r="Y54" s="2"/>
      <c r="AC54" s="13"/>
      <c r="AD54" s="13"/>
      <c r="AE54" s="13"/>
      <c r="AF54" s="17"/>
      <c r="AH54" s="2"/>
      <c r="AL54" s="17"/>
      <c r="AM54" s="17"/>
      <c r="AN54" s="17"/>
      <c r="AO54" s="17"/>
      <c r="AP54" s="17"/>
      <c r="AQ54" s="17"/>
      <c r="AT54" s="19"/>
      <c r="AU54" s="18"/>
      <c r="AV54" s="18"/>
      <c r="AW54" s="18"/>
    </row>
    <row r="55" spans="11:49" x14ac:dyDescent="0.45">
      <c r="M55" s="16"/>
      <c r="N55" s="15"/>
      <c r="O55" s="14"/>
      <c r="P55" s="14"/>
      <c r="Q55" s="14"/>
      <c r="R55" s="14"/>
      <c r="S55" s="14"/>
      <c r="T55" s="14"/>
      <c r="U55" s="14"/>
      <c r="X55" s="2"/>
      <c r="Y55" s="2"/>
      <c r="AC55" s="13"/>
      <c r="AD55" s="13"/>
      <c r="AE55" s="13"/>
      <c r="AF55" s="17"/>
      <c r="AH55" s="2"/>
      <c r="AL55" s="17"/>
      <c r="AM55" s="17"/>
      <c r="AN55" s="17"/>
      <c r="AO55" s="17"/>
      <c r="AP55" s="17"/>
      <c r="AQ55" s="17"/>
      <c r="AT55" s="19"/>
      <c r="AU55" s="18"/>
      <c r="AV55" s="18"/>
      <c r="AW55" s="18"/>
    </row>
    <row r="56" spans="11:49" x14ac:dyDescent="0.45">
      <c r="K56" s="12"/>
      <c r="M56" s="16"/>
      <c r="N56" s="15"/>
      <c r="O56" s="14"/>
      <c r="P56" s="14"/>
      <c r="Q56" s="14"/>
      <c r="R56" s="14" t="s">
        <v>78</v>
      </c>
      <c r="S56" s="14"/>
      <c r="T56" s="14"/>
      <c r="U56" s="14"/>
      <c r="X56" s="2"/>
      <c r="Y56" s="2"/>
      <c r="AC56" s="13"/>
      <c r="AD56" s="13"/>
      <c r="AE56" s="13"/>
      <c r="AF56" s="17"/>
      <c r="AH56" s="2"/>
      <c r="AL56" s="17"/>
      <c r="AM56" s="17"/>
      <c r="AN56" s="17"/>
      <c r="AO56" s="17"/>
      <c r="AP56" s="17"/>
      <c r="AQ56" s="17"/>
      <c r="AT56" s="19"/>
      <c r="AU56" s="18"/>
      <c r="AV56" s="18"/>
      <c r="AW56" s="18"/>
    </row>
    <row r="57" spans="11:49" x14ac:dyDescent="0.45">
      <c r="M57" s="16"/>
      <c r="N57" s="15"/>
      <c r="O57" s="14"/>
      <c r="P57" s="14"/>
      <c r="Q57" s="14"/>
      <c r="R57" s="14"/>
      <c r="S57" s="14"/>
      <c r="T57" s="14"/>
      <c r="U57" s="14"/>
      <c r="X57" s="2"/>
      <c r="Y57" s="2"/>
      <c r="AC57" s="13"/>
      <c r="AD57" s="13"/>
      <c r="AE57" s="13"/>
      <c r="AF57" s="17"/>
      <c r="AH57" s="2"/>
      <c r="AL57" s="17"/>
      <c r="AM57" s="17"/>
      <c r="AN57" s="17"/>
      <c r="AO57" s="17"/>
      <c r="AP57" s="17"/>
      <c r="AQ57" s="17"/>
      <c r="AT57" s="19"/>
      <c r="AU57" s="18"/>
      <c r="AV57" s="18"/>
      <c r="AW57" s="18"/>
    </row>
    <row r="58" spans="11:49" x14ac:dyDescent="0.45">
      <c r="M58" s="16"/>
      <c r="N58" s="15"/>
      <c r="O58" s="14"/>
      <c r="P58" s="14"/>
      <c r="Q58" s="14"/>
      <c r="R58" s="14"/>
      <c r="S58" s="14"/>
      <c r="T58" s="14"/>
      <c r="U58" s="14"/>
      <c r="X58" s="2"/>
      <c r="Y58" s="2"/>
      <c r="AC58" s="13"/>
      <c r="AD58" s="13"/>
      <c r="AE58" s="13"/>
      <c r="AF58" s="17"/>
      <c r="AH58" s="2"/>
      <c r="AL58" s="17"/>
      <c r="AM58" s="17"/>
      <c r="AN58" s="17"/>
      <c r="AO58" s="17"/>
      <c r="AP58" s="17"/>
      <c r="AQ58" s="17"/>
      <c r="AT58" s="19"/>
      <c r="AU58" s="18"/>
      <c r="AV58" s="18"/>
      <c r="AW58" s="18"/>
    </row>
    <row r="59" spans="11:49" x14ac:dyDescent="0.45">
      <c r="M59" s="16"/>
      <c r="N59" s="15"/>
      <c r="O59" s="14"/>
      <c r="P59" s="14"/>
      <c r="Q59" s="14"/>
      <c r="R59" s="14"/>
      <c r="S59" s="14"/>
      <c r="T59" s="14"/>
      <c r="U59" s="14"/>
      <c r="X59" s="2"/>
      <c r="Y59" s="2"/>
      <c r="AC59" s="13"/>
      <c r="AD59" s="13"/>
      <c r="AE59" s="13"/>
      <c r="AF59" s="17"/>
      <c r="AH59" s="2"/>
      <c r="AL59" s="17"/>
      <c r="AM59" s="17"/>
      <c r="AN59" s="17"/>
      <c r="AO59" s="17"/>
      <c r="AP59" s="17"/>
      <c r="AQ59" s="17"/>
      <c r="AT59" s="19"/>
      <c r="AU59" s="18"/>
      <c r="AV59" s="18"/>
      <c r="AW59" s="18"/>
    </row>
    <row r="60" spans="11:49" x14ac:dyDescent="0.45">
      <c r="M60" s="16"/>
      <c r="N60" s="15"/>
      <c r="O60" s="14"/>
      <c r="P60" s="14"/>
      <c r="Q60" s="14"/>
      <c r="R60" s="14"/>
      <c r="S60" s="14"/>
      <c r="T60" s="14"/>
      <c r="U60" s="14"/>
      <c r="X60" s="2"/>
      <c r="Y60" s="2"/>
      <c r="AC60" s="13"/>
      <c r="AD60" s="13"/>
      <c r="AE60" s="13"/>
      <c r="AF60" s="17"/>
      <c r="AH60" s="2"/>
      <c r="AL60" s="17"/>
      <c r="AM60" s="17"/>
      <c r="AN60" s="17"/>
      <c r="AO60" s="17"/>
      <c r="AP60" s="17"/>
      <c r="AQ60" s="17"/>
      <c r="AT60" s="19"/>
      <c r="AU60" s="18"/>
      <c r="AV60" s="18"/>
      <c r="AW60" s="18"/>
    </row>
    <row r="61" spans="11:49" x14ac:dyDescent="0.45">
      <c r="M61" s="16"/>
      <c r="N61" s="15"/>
      <c r="O61" s="14"/>
      <c r="P61" s="14"/>
      <c r="Q61" s="14"/>
      <c r="R61" s="14"/>
      <c r="S61" s="14"/>
      <c r="T61" s="14"/>
      <c r="U61" s="14"/>
      <c r="X61" s="2"/>
      <c r="Y61" s="2"/>
      <c r="AC61" s="13"/>
      <c r="AD61" s="13"/>
      <c r="AE61" s="13"/>
      <c r="AF61" s="17"/>
      <c r="AH61" s="2"/>
      <c r="AL61" s="17"/>
      <c r="AM61" s="17"/>
      <c r="AN61" s="17"/>
      <c r="AO61" s="17"/>
      <c r="AP61" s="17"/>
      <c r="AQ61" s="17"/>
      <c r="AT61" s="19"/>
      <c r="AU61" s="18"/>
      <c r="AV61" s="18"/>
      <c r="AW61" s="18"/>
    </row>
    <row r="62" spans="11:49" x14ac:dyDescent="0.45">
      <c r="M62" s="16"/>
      <c r="N62" s="15"/>
      <c r="O62" s="14"/>
      <c r="P62" s="14"/>
      <c r="Q62" s="14"/>
      <c r="R62" s="14"/>
      <c r="S62" s="14"/>
      <c r="T62" s="14"/>
      <c r="U62" s="14"/>
      <c r="X62" s="2"/>
      <c r="Y62" s="2"/>
      <c r="AC62" s="13"/>
      <c r="AD62" s="13"/>
      <c r="AE62" s="13"/>
      <c r="AF62" s="17"/>
      <c r="AH62" s="2"/>
      <c r="AL62" s="17"/>
      <c r="AM62" s="17"/>
      <c r="AN62" s="17"/>
      <c r="AO62" s="17"/>
      <c r="AP62" s="17"/>
      <c r="AQ62" s="17"/>
      <c r="AT62" s="19"/>
      <c r="AU62" s="18"/>
      <c r="AV62" s="18"/>
      <c r="AW62" s="18"/>
    </row>
    <row r="63" spans="11:49" x14ac:dyDescent="0.45">
      <c r="K63" s="12"/>
      <c r="M63" s="16"/>
      <c r="N63" s="15"/>
      <c r="O63" s="14"/>
      <c r="P63" s="14"/>
      <c r="Q63" s="14"/>
      <c r="R63" s="14"/>
      <c r="S63" s="14"/>
      <c r="T63" s="14"/>
      <c r="U63" s="14"/>
      <c r="X63" s="2"/>
      <c r="Y63" s="2"/>
      <c r="AC63" s="13"/>
      <c r="AD63" s="13"/>
      <c r="AE63" s="13"/>
      <c r="AF63" s="17"/>
      <c r="AH63" s="2"/>
      <c r="AL63" s="17"/>
      <c r="AM63" s="17"/>
      <c r="AN63" s="17"/>
      <c r="AO63" s="17"/>
      <c r="AP63" s="17"/>
      <c r="AQ63" s="17"/>
      <c r="AT63" s="19"/>
      <c r="AU63" s="18"/>
      <c r="AV63" s="18"/>
      <c r="AW63" s="18"/>
    </row>
    <row r="64" spans="11:49" x14ac:dyDescent="0.45">
      <c r="M64" s="16"/>
      <c r="N64" s="15"/>
      <c r="O64" s="14"/>
      <c r="P64" s="14"/>
      <c r="Q64" s="14"/>
      <c r="R64" s="14"/>
      <c r="S64" s="14"/>
      <c r="T64" s="14"/>
      <c r="U64" s="14"/>
      <c r="X64" s="2"/>
      <c r="Y64" s="2"/>
      <c r="AC64" s="13"/>
      <c r="AD64" s="13"/>
      <c r="AE64" s="13"/>
      <c r="AF64" s="17"/>
      <c r="AH64" s="2"/>
      <c r="AL64" s="17"/>
      <c r="AM64" s="17"/>
      <c r="AN64" s="17"/>
      <c r="AO64" s="17"/>
      <c r="AP64" s="17"/>
      <c r="AQ64" s="17"/>
      <c r="AT64" s="19"/>
      <c r="AU64" s="18"/>
      <c r="AV64" s="18"/>
      <c r="AW64" s="18"/>
    </row>
    <row r="65" spans="11:49" x14ac:dyDescent="0.45">
      <c r="M65" s="16"/>
      <c r="N65" s="15"/>
      <c r="O65" s="14"/>
      <c r="P65" s="14"/>
      <c r="Q65" s="14"/>
      <c r="R65" s="14"/>
      <c r="S65" s="14"/>
      <c r="T65" s="14"/>
      <c r="U65" s="14"/>
      <c r="X65" s="2"/>
      <c r="Y65" s="2"/>
      <c r="AC65" s="13"/>
      <c r="AD65" s="13"/>
      <c r="AE65" s="13"/>
      <c r="AF65" s="17"/>
      <c r="AH65" s="2"/>
      <c r="AL65" s="17"/>
      <c r="AM65" s="17"/>
      <c r="AN65" s="17"/>
      <c r="AO65" s="17"/>
      <c r="AP65" s="17"/>
      <c r="AQ65" s="17"/>
      <c r="AT65" s="19"/>
      <c r="AU65" s="18"/>
      <c r="AV65" s="18"/>
      <c r="AW65" s="18"/>
    </row>
    <row r="66" spans="11:49" x14ac:dyDescent="0.45">
      <c r="M66" s="16"/>
      <c r="N66" s="15"/>
      <c r="O66" s="14"/>
      <c r="P66" s="14"/>
      <c r="Q66" s="14"/>
      <c r="R66" s="14"/>
      <c r="S66" s="14"/>
      <c r="T66" s="14"/>
      <c r="U66" s="14"/>
      <c r="X66" s="2"/>
      <c r="Y66" s="2"/>
      <c r="AC66" s="13"/>
      <c r="AD66" s="13"/>
      <c r="AE66" s="13"/>
      <c r="AF66" s="17"/>
      <c r="AH66" s="2"/>
      <c r="AL66" s="17"/>
      <c r="AM66" s="17"/>
      <c r="AN66" s="17"/>
      <c r="AO66" s="17"/>
      <c r="AP66" s="17"/>
      <c r="AQ66" s="17"/>
      <c r="AT66" s="19"/>
      <c r="AU66" s="18"/>
      <c r="AV66" s="18"/>
      <c r="AW66" s="18"/>
    </row>
    <row r="67" spans="11:49" x14ac:dyDescent="0.45">
      <c r="M67" s="16"/>
      <c r="N67" s="15"/>
      <c r="O67" s="14"/>
      <c r="P67" s="14"/>
      <c r="Q67" s="14"/>
      <c r="R67" s="14"/>
      <c r="S67" s="14"/>
      <c r="T67" s="14"/>
      <c r="U67" s="14"/>
      <c r="X67" s="2"/>
      <c r="Y67" s="2"/>
      <c r="AC67" s="13"/>
      <c r="AD67" s="13"/>
      <c r="AE67" s="13"/>
      <c r="AF67" s="17"/>
      <c r="AH67" s="2"/>
      <c r="AL67" s="17"/>
      <c r="AM67" s="17"/>
      <c r="AN67" s="17"/>
      <c r="AO67" s="17"/>
      <c r="AP67" s="17"/>
      <c r="AQ67" s="17"/>
      <c r="AT67" s="19"/>
      <c r="AU67" s="18"/>
      <c r="AV67" s="18"/>
      <c r="AW67" s="18"/>
    </row>
    <row r="68" spans="11:49" x14ac:dyDescent="0.45">
      <c r="M68" s="16"/>
      <c r="N68" s="15"/>
      <c r="O68" s="14"/>
      <c r="P68" s="14"/>
      <c r="Q68" s="14"/>
      <c r="R68" s="14"/>
      <c r="S68" s="14"/>
      <c r="T68" s="14"/>
      <c r="U68" s="14"/>
      <c r="X68" s="2"/>
      <c r="Y68" s="2"/>
      <c r="AC68" s="13"/>
      <c r="AD68" s="13"/>
      <c r="AE68" s="13"/>
      <c r="AF68" s="17"/>
      <c r="AH68" s="2"/>
      <c r="AL68" s="17"/>
      <c r="AM68" s="17"/>
      <c r="AN68" s="17"/>
      <c r="AO68" s="17"/>
      <c r="AP68" s="17"/>
      <c r="AQ68" s="17"/>
      <c r="AT68" s="19"/>
      <c r="AU68" s="18"/>
      <c r="AV68" s="18"/>
      <c r="AW68" s="18"/>
    </row>
    <row r="69" spans="11:49" x14ac:dyDescent="0.45">
      <c r="M69" s="16"/>
      <c r="N69" s="15"/>
      <c r="O69" s="14"/>
      <c r="P69" s="14"/>
      <c r="Q69" s="14"/>
      <c r="R69" s="14"/>
      <c r="S69" s="14"/>
      <c r="T69" s="14"/>
      <c r="U69" s="14"/>
      <c r="X69" s="2"/>
      <c r="Y69" s="2"/>
      <c r="AC69" s="13"/>
      <c r="AD69" s="13"/>
      <c r="AE69" s="13"/>
      <c r="AF69" s="17"/>
      <c r="AH69" s="2"/>
      <c r="AL69" s="17"/>
      <c r="AM69" s="17"/>
      <c r="AN69" s="17"/>
      <c r="AO69" s="17"/>
      <c r="AP69" s="17"/>
      <c r="AQ69" s="17"/>
      <c r="AT69" s="19"/>
      <c r="AU69" s="18"/>
      <c r="AV69" s="18"/>
      <c r="AW69" s="18"/>
    </row>
    <row r="70" spans="11:49" x14ac:dyDescent="0.45">
      <c r="K70" s="12"/>
      <c r="M70" s="16"/>
      <c r="N70" s="15"/>
      <c r="O70" s="14"/>
      <c r="P70" s="14"/>
      <c r="Q70" s="14"/>
      <c r="R70" s="14"/>
      <c r="S70" s="14"/>
      <c r="T70" s="14"/>
      <c r="U70" s="14"/>
      <c r="X70" s="2"/>
      <c r="Y70" s="2"/>
      <c r="AC70" s="13"/>
      <c r="AD70" s="13"/>
      <c r="AE70" s="13"/>
      <c r="AF70" s="17"/>
      <c r="AH70" s="2"/>
      <c r="AL70" s="17"/>
      <c r="AM70" s="17"/>
      <c r="AN70" s="17"/>
      <c r="AO70" s="17"/>
      <c r="AP70" s="17"/>
      <c r="AQ70" s="17"/>
      <c r="AT70" s="19"/>
      <c r="AU70" s="18"/>
      <c r="AV70" s="18"/>
      <c r="AW70" s="18"/>
    </row>
    <row r="71" spans="11:49" x14ac:dyDescent="0.45">
      <c r="M71" s="16"/>
      <c r="N71" s="15"/>
      <c r="O71" s="14"/>
      <c r="P71" s="14"/>
      <c r="Q71" s="14"/>
      <c r="R71" s="14"/>
      <c r="S71" s="14"/>
      <c r="T71" s="14"/>
      <c r="U71" s="14"/>
      <c r="X71" s="2"/>
      <c r="Y71" s="2"/>
      <c r="AC71" s="13"/>
      <c r="AD71" s="13"/>
      <c r="AE71" s="13"/>
      <c r="AF71" s="17"/>
      <c r="AH71" s="2"/>
      <c r="AL71" s="17"/>
      <c r="AM71" s="17"/>
      <c r="AN71" s="17"/>
      <c r="AO71" s="17"/>
      <c r="AP71" s="17"/>
      <c r="AQ71" s="17"/>
      <c r="AT71" s="19"/>
      <c r="AU71" s="18"/>
      <c r="AV71" s="18"/>
      <c r="AW71" s="18"/>
    </row>
    <row r="72" spans="11:49" x14ac:dyDescent="0.45">
      <c r="M72" s="16"/>
      <c r="N72" s="15"/>
      <c r="O72" s="14"/>
      <c r="P72" s="14"/>
      <c r="Q72" s="14"/>
      <c r="R72" s="14"/>
      <c r="S72" s="14"/>
      <c r="T72" s="14"/>
      <c r="U72" s="14"/>
      <c r="X72" s="2"/>
      <c r="Y72" s="2"/>
      <c r="AC72" s="13"/>
      <c r="AD72" s="13"/>
      <c r="AE72" s="13"/>
      <c r="AF72" s="17"/>
      <c r="AH72" s="2"/>
      <c r="AL72" s="17"/>
      <c r="AM72" s="17"/>
      <c r="AN72" s="17"/>
      <c r="AO72" s="17"/>
      <c r="AP72" s="17"/>
      <c r="AQ72" s="17"/>
      <c r="AT72" s="19"/>
      <c r="AU72" s="18"/>
      <c r="AV72" s="18"/>
      <c r="AW72" s="18"/>
    </row>
    <row r="73" spans="11:49" x14ac:dyDescent="0.45">
      <c r="M73" s="16"/>
      <c r="N73" s="15"/>
      <c r="O73" s="14"/>
      <c r="P73" s="14"/>
      <c r="Q73" s="14"/>
      <c r="R73" s="14"/>
      <c r="S73" s="14"/>
      <c r="T73" s="14"/>
      <c r="U73" s="14"/>
      <c r="X73" s="2"/>
      <c r="Y73" s="2"/>
      <c r="AC73" s="13"/>
      <c r="AD73" s="13"/>
      <c r="AE73" s="13"/>
      <c r="AF73" s="17"/>
      <c r="AH73" s="2"/>
      <c r="AL73" s="17"/>
      <c r="AM73" s="17"/>
      <c r="AN73" s="17"/>
      <c r="AO73" s="17"/>
      <c r="AP73" s="17"/>
      <c r="AQ73" s="17"/>
      <c r="AT73" s="19"/>
      <c r="AU73" s="18"/>
      <c r="AV73" s="18"/>
      <c r="AW73" s="18"/>
    </row>
    <row r="74" spans="11:49" x14ac:dyDescent="0.45">
      <c r="M74" s="16"/>
      <c r="N74" s="15"/>
      <c r="O74" s="14"/>
      <c r="P74" s="14"/>
      <c r="Q74" s="14"/>
      <c r="R74" s="14"/>
      <c r="S74" s="14"/>
      <c r="T74" s="14"/>
      <c r="U74" s="14"/>
      <c r="X74" s="2"/>
      <c r="Y74" s="2"/>
      <c r="AC74" s="13"/>
      <c r="AD74" s="13"/>
      <c r="AE74" s="13"/>
      <c r="AF74" s="17"/>
      <c r="AH74" s="2"/>
      <c r="AL74" s="17"/>
      <c r="AM74" s="17"/>
      <c r="AN74" s="17"/>
      <c r="AO74" s="17"/>
      <c r="AP74" s="17"/>
      <c r="AQ74" s="17"/>
      <c r="AT74" s="19"/>
      <c r="AU74" s="18"/>
      <c r="AV74" s="18"/>
      <c r="AW74" s="18"/>
    </row>
    <row r="75" spans="11:49" x14ac:dyDescent="0.45">
      <c r="M75" s="16"/>
      <c r="N75" s="15"/>
      <c r="O75" s="14"/>
      <c r="P75" s="14"/>
      <c r="Q75" s="14"/>
      <c r="R75" s="14"/>
      <c r="S75" s="14"/>
      <c r="T75" s="14"/>
      <c r="U75" s="14"/>
      <c r="X75" s="2"/>
      <c r="Y75" s="2"/>
      <c r="AC75" s="13"/>
      <c r="AD75" s="13"/>
      <c r="AE75" s="13"/>
      <c r="AF75" s="17"/>
      <c r="AH75" s="2"/>
      <c r="AL75" s="17"/>
      <c r="AM75" s="17"/>
      <c r="AN75" s="17"/>
      <c r="AO75" s="17"/>
      <c r="AP75" s="17"/>
      <c r="AQ75" s="17"/>
      <c r="AT75" s="19"/>
      <c r="AU75" s="18"/>
      <c r="AV75" s="18"/>
      <c r="AW75" s="18"/>
    </row>
    <row r="76" spans="11:49" x14ac:dyDescent="0.45">
      <c r="M76" s="16"/>
      <c r="N76" s="15"/>
      <c r="O76" s="14"/>
      <c r="P76" s="14"/>
      <c r="Q76" s="14"/>
      <c r="R76" s="14"/>
      <c r="S76" s="14"/>
      <c r="T76" s="14"/>
      <c r="U76" s="14"/>
      <c r="X76" s="2"/>
      <c r="Y76" s="2"/>
      <c r="AC76" s="13"/>
      <c r="AD76" s="13"/>
      <c r="AE76" s="13"/>
      <c r="AF76" s="17"/>
      <c r="AH76" s="2"/>
      <c r="AL76" s="17"/>
      <c r="AM76" s="17"/>
      <c r="AN76" s="17"/>
      <c r="AO76" s="17"/>
      <c r="AP76" s="17"/>
      <c r="AQ76" s="17"/>
      <c r="AT76" s="19"/>
      <c r="AU76" s="18"/>
      <c r="AV76" s="18"/>
      <c r="AW76" s="18"/>
    </row>
    <row r="77" spans="11:49" x14ac:dyDescent="0.45">
      <c r="K77" s="12"/>
      <c r="M77" s="16"/>
      <c r="N77" s="15"/>
      <c r="O77" s="14"/>
      <c r="P77" s="14"/>
      <c r="Q77" s="14"/>
      <c r="R77" s="14"/>
      <c r="S77" s="14"/>
      <c r="T77" s="14"/>
      <c r="U77" s="14"/>
      <c r="X77" s="2"/>
      <c r="Y77" s="2"/>
      <c r="AC77" s="13"/>
      <c r="AD77" s="13"/>
      <c r="AE77" s="13"/>
      <c r="AF77" s="17"/>
      <c r="AH77" s="2"/>
      <c r="AL77" s="17"/>
      <c r="AM77" s="17"/>
      <c r="AN77" s="17"/>
      <c r="AO77" s="17"/>
      <c r="AP77" s="17"/>
      <c r="AQ77" s="17"/>
      <c r="AT77" s="19"/>
      <c r="AU77" s="18"/>
      <c r="AV77" s="18"/>
      <c r="AW77" s="18"/>
    </row>
    <row r="78" spans="11:49" x14ac:dyDescent="0.45">
      <c r="M78" s="16"/>
      <c r="N78" s="15"/>
      <c r="O78" s="14"/>
      <c r="P78" s="14"/>
      <c r="Q78" s="14"/>
      <c r="R78" s="14"/>
      <c r="S78" s="14"/>
      <c r="T78" s="14"/>
      <c r="U78" s="14"/>
      <c r="X78" s="2"/>
      <c r="Y78" s="2"/>
      <c r="AC78" s="13"/>
      <c r="AD78" s="13"/>
      <c r="AE78" s="13"/>
      <c r="AF78" s="17"/>
      <c r="AH78" s="2"/>
      <c r="AL78" s="17"/>
      <c r="AM78" s="17"/>
      <c r="AN78" s="17"/>
      <c r="AO78" s="17"/>
      <c r="AP78" s="17"/>
      <c r="AQ78" s="17"/>
      <c r="AT78" s="19"/>
      <c r="AU78" s="18"/>
      <c r="AV78" s="18"/>
      <c r="AW78" s="18"/>
    </row>
    <row r="79" spans="11:49" x14ac:dyDescent="0.45">
      <c r="M79" s="16"/>
      <c r="N79" s="15"/>
      <c r="O79" s="14"/>
      <c r="P79" s="14"/>
      <c r="Q79" s="14"/>
      <c r="R79" s="14"/>
      <c r="S79" s="14"/>
      <c r="T79" s="14"/>
      <c r="U79" s="14"/>
      <c r="X79" s="2"/>
      <c r="Y79" s="2"/>
      <c r="AC79" s="13"/>
      <c r="AD79" s="13"/>
      <c r="AE79" s="13"/>
      <c r="AF79" s="17"/>
      <c r="AH79" s="2"/>
      <c r="AL79" s="17"/>
      <c r="AM79" s="17"/>
      <c r="AN79" s="17"/>
      <c r="AO79" s="17"/>
      <c r="AP79" s="17"/>
      <c r="AQ79" s="17"/>
      <c r="AT79" s="19"/>
      <c r="AU79" s="18"/>
      <c r="AV79" s="18"/>
      <c r="AW79" s="18"/>
    </row>
    <row r="80" spans="11:49" x14ac:dyDescent="0.45">
      <c r="M80" s="16"/>
      <c r="N80" s="15"/>
      <c r="O80" s="14"/>
      <c r="P80" s="14"/>
      <c r="Q80" s="14"/>
      <c r="R80" s="14"/>
      <c r="S80" s="14"/>
      <c r="T80" s="14"/>
      <c r="U80" s="14"/>
      <c r="X80" s="2"/>
      <c r="Y80" s="2"/>
      <c r="AC80" s="13"/>
      <c r="AD80" s="13"/>
      <c r="AE80" s="13"/>
      <c r="AF80" s="17"/>
      <c r="AH80" s="2"/>
      <c r="AL80" s="17"/>
      <c r="AM80" s="17"/>
      <c r="AN80" s="17"/>
      <c r="AO80" s="17"/>
      <c r="AP80" s="17"/>
      <c r="AQ80" s="17"/>
      <c r="AT80" s="19"/>
      <c r="AU80" s="18"/>
      <c r="AV80" s="18"/>
      <c r="AW80" s="18"/>
    </row>
    <row r="81" spans="11:49" x14ac:dyDescent="0.45">
      <c r="M81" s="16"/>
      <c r="N81" s="15"/>
      <c r="O81" s="14"/>
      <c r="P81" s="14"/>
      <c r="Q81" s="14"/>
      <c r="R81" s="14"/>
      <c r="S81" s="14"/>
      <c r="T81" s="14"/>
      <c r="U81" s="14"/>
      <c r="X81" s="2"/>
      <c r="Y81" s="2"/>
      <c r="AC81" s="13"/>
      <c r="AD81" s="13"/>
      <c r="AE81" s="13"/>
      <c r="AF81" s="17"/>
      <c r="AH81" s="2"/>
      <c r="AL81" s="17"/>
      <c r="AM81" s="17"/>
      <c r="AN81" s="17"/>
      <c r="AO81" s="17"/>
      <c r="AP81" s="17"/>
      <c r="AQ81" s="17"/>
      <c r="AT81" s="19"/>
      <c r="AU81" s="18"/>
      <c r="AV81" s="18"/>
      <c r="AW81" s="18"/>
    </row>
    <row r="82" spans="11:49" x14ac:dyDescent="0.45">
      <c r="M82" s="16"/>
      <c r="N82" s="15"/>
      <c r="O82" s="14"/>
      <c r="P82" s="14"/>
      <c r="Q82" s="14"/>
      <c r="R82" s="14"/>
      <c r="S82" s="14"/>
      <c r="T82" s="14"/>
      <c r="U82" s="14"/>
      <c r="X82" s="2"/>
      <c r="Y82" s="2"/>
      <c r="AC82" s="13"/>
      <c r="AD82" s="13"/>
      <c r="AE82" s="13"/>
      <c r="AF82" s="17"/>
      <c r="AH82" s="2"/>
      <c r="AL82" s="17"/>
      <c r="AM82" s="17"/>
      <c r="AN82" s="17"/>
      <c r="AO82" s="17"/>
      <c r="AP82" s="17"/>
      <c r="AQ82" s="17"/>
      <c r="AT82" s="19"/>
      <c r="AU82" s="18"/>
      <c r="AV82" s="18"/>
      <c r="AW82" s="18"/>
    </row>
    <row r="83" spans="11:49" x14ac:dyDescent="0.45">
      <c r="M83" s="16"/>
      <c r="N83" s="15"/>
      <c r="O83" s="14"/>
      <c r="P83" s="14"/>
      <c r="Q83" s="14"/>
      <c r="R83" s="14"/>
      <c r="S83" s="14"/>
      <c r="T83" s="14"/>
      <c r="U83" s="14"/>
      <c r="X83" s="2"/>
      <c r="Y83" s="2"/>
      <c r="AC83" s="13"/>
      <c r="AD83" s="13"/>
      <c r="AE83" s="13"/>
      <c r="AF83" s="17"/>
      <c r="AH83" s="2"/>
      <c r="AL83" s="17"/>
      <c r="AM83" s="17"/>
      <c r="AN83" s="17"/>
      <c r="AO83" s="17"/>
      <c r="AP83" s="17"/>
      <c r="AQ83" s="17"/>
      <c r="AT83" s="19"/>
      <c r="AU83" s="18"/>
      <c r="AV83" s="18"/>
      <c r="AW83" s="18"/>
    </row>
    <row r="84" spans="11:49" x14ac:dyDescent="0.45">
      <c r="K84" s="12"/>
      <c r="M84" s="16"/>
      <c r="N84" s="15"/>
      <c r="O84" s="14"/>
      <c r="P84" s="14"/>
      <c r="Q84" s="14"/>
      <c r="R84" s="14"/>
      <c r="S84" s="14"/>
      <c r="T84" s="14"/>
      <c r="U84" s="14"/>
      <c r="X84" s="2"/>
      <c r="Y84" s="2"/>
      <c r="AC84" s="13"/>
      <c r="AD84" s="13"/>
      <c r="AE84" s="13"/>
      <c r="AF84" s="17"/>
      <c r="AH84" s="2"/>
      <c r="AL84" s="17"/>
      <c r="AM84" s="17"/>
      <c r="AN84" s="17"/>
      <c r="AO84" s="17"/>
      <c r="AP84" s="17"/>
      <c r="AQ84" s="17"/>
      <c r="AT84" s="19"/>
      <c r="AU84" s="18"/>
      <c r="AV84" s="18"/>
      <c r="AW84" s="18"/>
    </row>
    <row r="85" spans="11:49" x14ac:dyDescent="0.45">
      <c r="M85" s="16"/>
      <c r="N85" s="15"/>
      <c r="O85" s="14"/>
      <c r="P85" s="14"/>
      <c r="Q85" s="14"/>
      <c r="R85" s="14"/>
      <c r="S85" s="14"/>
      <c r="T85" s="14"/>
      <c r="U85" s="14"/>
      <c r="X85" s="2"/>
      <c r="Y85" s="2"/>
      <c r="AC85" s="13"/>
      <c r="AD85" s="13"/>
      <c r="AE85" s="13"/>
      <c r="AF85" s="17"/>
      <c r="AH85" s="2"/>
      <c r="AL85" s="17"/>
      <c r="AM85" s="17"/>
      <c r="AN85" s="17"/>
      <c r="AO85" s="17"/>
      <c r="AP85" s="17"/>
      <c r="AQ85" s="17"/>
      <c r="AT85" s="19"/>
      <c r="AU85" s="18"/>
      <c r="AV85" s="18"/>
      <c r="AW85" s="18"/>
    </row>
    <row r="86" spans="11:49" x14ac:dyDescent="0.45">
      <c r="M86" s="16"/>
      <c r="N86" s="15"/>
      <c r="O86" s="14"/>
      <c r="P86" s="14"/>
      <c r="Q86" s="14"/>
      <c r="R86" s="14"/>
      <c r="S86" s="14"/>
      <c r="T86" s="14"/>
      <c r="U86" s="14"/>
      <c r="X86" s="2"/>
      <c r="Y86" s="2"/>
      <c r="AC86" s="13"/>
      <c r="AD86" s="13"/>
      <c r="AE86" s="13"/>
      <c r="AF86" s="17"/>
      <c r="AH86" s="2"/>
      <c r="AL86" s="17"/>
      <c r="AM86" s="17"/>
      <c r="AN86" s="17"/>
      <c r="AO86" s="17"/>
      <c r="AP86" s="17"/>
      <c r="AQ86" s="17"/>
      <c r="AT86" s="19"/>
      <c r="AU86" s="18"/>
      <c r="AV86" s="18"/>
      <c r="AW86" s="18"/>
    </row>
    <row r="87" spans="11:49" x14ac:dyDescent="0.45">
      <c r="M87" s="16"/>
      <c r="N87" s="15"/>
      <c r="O87" s="14"/>
      <c r="P87" s="14"/>
      <c r="Q87" s="14"/>
      <c r="R87" s="14"/>
      <c r="S87" s="14"/>
      <c r="T87" s="14"/>
      <c r="U87" s="14"/>
      <c r="X87" s="2"/>
      <c r="Y87" s="2"/>
      <c r="AC87" s="13"/>
      <c r="AD87" s="13"/>
      <c r="AE87" s="13"/>
      <c r="AF87" s="17"/>
      <c r="AH87" s="2"/>
      <c r="AL87" s="17"/>
      <c r="AM87" s="17"/>
      <c r="AN87" s="17"/>
      <c r="AO87" s="17"/>
      <c r="AP87" s="17"/>
      <c r="AQ87" s="17"/>
      <c r="AT87" s="19"/>
      <c r="AU87" s="18"/>
      <c r="AV87" s="18"/>
      <c r="AW87" s="18"/>
    </row>
    <row r="88" spans="11:49" x14ac:dyDescent="0.45">
      <c r="M88" s="16"/>
      <c r="N88" s="15"/>
      <c r="O88" s="14"/>
      <c r="P88" s="14"/>
      <c r="Q88" s="14"/>
      <c r="R88" s="14"/>
      <c r="S88" s="14"/>
      <c r="T88" s="14"/>
      <c r="U88" s="14"/>
      <c r="X88" s="2"/>
      <c r="Y88" s="2"/>
      <c r="AC88" s="13"/>
      <c r="AD88" s="13"/>
      <c r="AE88" s="13"/>
      <c r="AF88" s="17"/>
      <c r="AH88" s="2"/>
      <c r="AL88" s="17"/>
      <c r="AM88" s="17"/>
      <c r="AN88" s="17"/>
      <c r="AO88" s="17"/>
      <c r="AP88" s="17"/>
      <c r="AQ88" s="17"/>
      <c r="AT88" s="19"/>
      <c r="AU88" s="18"/>
      <c r="AV88" s="18"/>
      <c r="AW88" s="18"/>
    </row>
    <row r="89" spans="11:49" x14ac:dyDescent="0.45">
      <c r="M89" s="16"/>
      <c r="N89" s="15"/>
      <c r="O89" s="14"/>
      <c r="P89" s="14"/>
      <c r="Q89" s="14"/>
      <c r="R89" s="14"/>
      <c r="S89" s="14"/>
      <c r="T89" s="14"/>
      <c r="U89" s="14"/>
      <c r="X89" s="2"/>
      <c r="Y89" s="2"/>
      <c r="AC89" s="13"/>
      <c r="AD89" s="13"/>
      <c r="AE89" s="13"/>
      <c r="AF89" s="17"/>
      <c r="AH89" s="2"/>
      <c r="AL89" s="17"/>
      <c r="AM89" s="17"/>
      <c r="AN89" s="17"/>
      <c r="AO89" s="17"/>
      <c r="AP89" s="17"/>
      <c r="AQ89" s="17"/>
      <c r="AT89" s="19"/>
      <c r="AU89" s="18"/>
      <c r="AV89" s="18"/>
      <c r="AW89" s="18"/>
    </row>
    <row r="90" spans="11:49" x14ac:dyDescent="0.45">
      <c r="M90" s="16"/>
      <c r="N90" s="15"/>
      <c r="O90" s="14"/>
      <c r="P90" s="14"/>
      <c r="Q90" s="14"/>
      <c r="R90" s="14"/>
      <c r="S90" s="14"/>
      <c r="T90" s="14"/>
      <c r="U90" s="14"/>
      <c r="X90" s="2"/>
      <c r="Y90" s="2"/>
      <c r="AC90" s="13"/>
      <c r="AD90" s="13"/>
      <c r="AE90" s="13"/>
      <c r="AF90" s="17"/>
      <c r="AH90" s="2"/>
      <c r="AL90" s="17"/>
      <c r="AM90" s="17"/>
      <c r="AN90" s="17"/>
      <c r="AO90" s="17"/>
      <c r="AP90" s="17"/>
      <c r="AQ90" s="17"/>
      <c r="AT90" s="19"/>
      <c r="AU90" s="18"/>
      <c r="AV90" s="18"/>
      <c r="AW90" s="18"/>
    </row>
    <row r="91" spans="11:49" x14ac:dyDescent="0.45">
      <c r="K91" s="12"/>
      <c r="M91" s="16"/>
      <c r="N91" s="15"/>
      <c r="O91" s="14"/>
      <c r="P91" s="14"/>
      <c r="Q91" s="14"/>
      <c r="R91" s="14"/>
      <c r="S91" s="14"/>
      <c r="T91" s="14"/>
      <c r="U91" s="14"/>
      <c r="X91" s="2"/>
      <c r="Y91" s="2"/>
      <c r="AC91" s="13"/>
      <c r="AD91" s="13"/>
      <c r="AE91" s="13"/>
      <c r="AF91" s="17"/>
      <c r="AH91" s="2"/>
      <c r="AL91" s="17"/>
      <c r="AM91" s="17"/>
      <c r="AN91" s="17"/>
      <c r="AO91" s="17"/>
      <c r="AP91" s="17"/>
      <c r="AQ91" s="17"/>
      <c r="AT91" s="19"/>
      <c r="AU91" s="18"/>
      <c r="AV91" s="18"/>
      <c r="AW91" s="18"/>
    </row>
    <row r="92" spans="11:49" x14ac:dyDescent="0.45">
      <c r="M92" s="16"/>
      <c r="N92" s="15"/>
      <c r="O92" s="14"/>
      <c r="P92" s="14"/>
      <c r="Q92" s="14"/>
      <c r="R92" s="14"/>
      <c r="S92" s="14"/>
      <c r="T92" s="14"/>
      <c r="U92" s="14"/>
      <c r="X92" s="2"/>
      <c r="Y92" s="2"/>
      <c r="AC92" s="13"/>
      <c r="AD92" s="13"/>
      <c r="AE92" s="13"/>
      <c r="AF92" s="17"/>
      <c r="AH92" s="2"/>
      <c r="AL92" s="17"/>
      <c r="AM92" s="17"/>
      <c r="AN92" s="17"/>
      <c r="AO92" s="17"/>
      <c r="AP92" s="17"/>
      <c r="AQ92" s="17"/>
      <c r="AT92" s="19"/>
      <c r="AU92" s="18"/>
      <c r="AV92" s="18"/>
      <c r="AW92" s="18"/>
    </row>
    <row r="93" spans="11:49" x14ac:dyDescent="0.45">
      <c r="M93" s="16"/>
      <c r="N93" s="15"/>
      <c r="O93" s="14"/>
      <c r="P93" s="14"/>
      <c r="Q93" s="14"/>
      <c r="R93" s="14"/>
      <c r="S93" s="14"/>
      <c r="T93" s="14"/>
      <c r="U93" s="14"/>
      <c r="X93" s="2"/>
      <c r="Y93" s="2"/>
      <c r="AC93" s="13"/>
      <c r="AD93" s="13"/>
      <c r="AE93" s="13"/>
      <c r="AF93" s="17"/>
      <c r="AH93" s="2"/>
      <c r="AL93" s="17"/>
      <c r="AM93" s="17"/>
      <c r="AN93" s="17"/>
      <c r="AO93" s="17"/>
      <c r="AP93" s="17"/>
      <c r="AQ93" s="17"/>
      <c r="AT93" s="19"/>
      <c r="AU93" s="18"/>
      <c r="AV93" s="18"/>
      <c r="AW93" s="18"/>
    </row>
    <row r="94" spans="11:49" x14ac:dyDescent="0.45">
      <c r="M94" s="16"/>
      <c r="N94" s="15"/>
      <c r="O94" s="14"/>
      <c r="P94" s="14"/>
      <c r="Q94" s="14"/>
      <c r="R94" s="14"/>
      <c r="S94" s="14"/>
      <c r="T94" s="14"/>
      <c r="U94" s="14"/>
      <c r="X94" s="2"/>
      <c r="Y94" s="2"/>
      <c r="AC94" s="13"/>
      <c r="AD94" s="13"/>
      <c r="AE94" s="13"/>
      <c r="AF94" s="17"/>
      <c r="AH94" s="2"/>
      <c r="AL94" s="17"/>
      <c r="AM94" s="17"/>
      <c r="AN94" s="17"/>
      <c r="AO94" s="17"/>
      <c r="AP94" s="17"/>
      <c r="AQ94" s="17"/>
      <c r="AT94" s="19"/>
      <c r="AU94" s="18"/>
      <c r="AV94" s="18"/>
      <c r="AW94" s="18"/>
    </row>
    <row r="95" spans="11:49" x14ac:dyDescent="0.45">
      <c r="M95" s="16"/>
      <c r="N95" s="15"/>
      <c r="O95" s="14"/>
      <c r="P95" s="14"/>
      <c r="Q95" s="14"/>
      <c r="R95" s="14"/>
      <c r="S95" s="14"/>
      <c r="T95" s="14"/>
      <c r="U95" s="14"/>
      <c r="X95" s="2"/>
      <c r="Y95" s="2"/>
      <c r="AC95" s="13"/>
      <c r="AD95" s="13"/>
      <c r="AE95" s="13"/>
      <c r="AF95" s="17"/>
      <c r="AH95" s="2"/>
      <c r="AL95" s="17"/>
      <c r="AM95" s="17"/>
      <c r="AN95" s="17"/>
      <c r="AO95" s="17"/>
      <c r="AP95" s="17"/>
      <c r="AQ95" s="17"/>
      <c r="AT95" s="19"/>
      <c r="AU95" s="18"/>
      <c r="AV95" s="18"/>
      <c r="AW95" s="18"/>
    </row>
    <row r="96" spans="11:49" x14ac:dyDescent="0.45">
      <c r="M96" s="16"/>
      <c r="N96" s="15"/>
      <c r="O96" s="14"/>
      <c r="P96" s="14"/>
      <c r="Q96" s="14"/>
      <c r="R96" s="14"/>
      <c r="S96" s="14"/>
      <c r="T96" s="14"/>
      <c r="U96" s="14"/>
      <c r="X96" s="2"/>
      <c r="Y96" s="2"/>
      <c r="AC96" s="13"/>
      <c r="AD96" s="13"/>
      <c r="AE96" s="13"/>
      <c r="AF96" s="17"/>
      <c r="AH96" s="2"/>
      <c r="AL96" s="17"/>
      <c r="AM96" s="17"/>
      <c r="AN96" s="17"/>
      <c r="AO96" s="17"/>
      <c r="AP96" s="17"/>
      <c r="AQ96" s="17"/>
      <c r="AT96" s="19"/>
      <c r="AU96" s="18"/>
      <c r="AV96" s="18"/>
      <c r="AW96" s="18"/>
    </row>
    <row r="97" spans="11:49" x14ac:dyDescent="0.45">
      <c r="M97" s="16"/>
      <c r="N97" s="15"/>
      <c r="O97" s="14"/>
      <c r="P97" s="14"/>
      <c r="Q97" s="14"/>
      <c r="R97" s="14"/>
      <c r="S97" s="14"/>
      <c r="T97" s="14"/>
      <c r="U97" s="14"/>
      <c r="X97" s="2"/>
      <c r="Y97" s="2"/>
      <c r="AC97" s="13"/>
      <c r="AD97" s="13"/>
      <c r="AE97" s="13"/>
      <c r="AF97" s="17"/>
      <c r="AH97" s="2"/>
      <c r="AL97" s="17"/>
      <c r="AM97" s="17"/>
      <c r="AN97" s="17"/>
      <c r="AO97" s="17"/>
      <c r="AP97" s="17"/>
      <c r="AQ97" s="17"/>
      <c r="AT97" s="19"/>
      <c r="AU97" s="18"/>
      <c r="AV97" s="18"/>
      <c r="AW97" s="18"/>
    </row>
    <row r="98" spans="11:49" x14ac:dyDescent="0.45">
      <c r="K98" s="12"/>
      <c r="M98" s="16"/>
      <c r="N98" s="15"/>
      <c r="O98" s="14"/>
      <c r="P98" s="14"/>
      <c r="Q98" s="14"/>
      <c r="R98" s="14"/>
      <c r="S98" s="14"/>
      <c r="T98" s="14"/>
      <c r="U98" s="14"/>
      <c r="X98" s="2"/>
      <c r="Y98" s="2"/>
      <c r="AC98" s="13"/>
      <c r="AD98" s="13"/>
      <c r="AE98" s="13"/>
      <c r="AF98" s="17"/>
      <c r="AH98" s="2"/>
      <c r="AL98" s="17"/>
      <c r="AM98" s="17"/>
      <c r="AN98" s="17"/>
      <c r="AO98" s="17"/>
      <c r="AP98" s="17"/>
      <c r="AQ98" s="17"/>
      <c r="AT98" s="19"/>
      <c r="AU98" s="18"/>
      <c r="AV98" s="18"/>
      <c r="AW98" s="18"/>
    </row>
    <row r="99" spans="11:49" x14ac:dyDescent="0.45">
      <c r="M99" s="16"/>
      <c r="N99" s="15"/>
      <c r="O99" s="14"/>
      <c r="P99" s="14"/>
      <c r="Q99" s="14"/>
      <c r="R99" s="14"/>
      <c r="S99" s="14"/>
      <c r="T99" s="14"/>
      <c r="U99" s="14"/>
      <c r="X99" s="2"/>
      <c r="Y99" s="2"/>
      <c r="AC99" s="13"/>
      <c r="AD99" s="13"/>
      <c r="AE99" s="13"/>
      <c r="AF99" s="17"/>
      <c r="AH99" s="2"/>
      <c r="AL99" s="17"/>
      <c r="AM99" s="17"/>
      <c r="AN99" s="17"/>
      <c r="AO99" s="17"/>
      <c r="AP99" s="17"/>
      <c r="AQ99" s="17"/>
      <c r="AT99" s="19"/>
      <c r="AU99" s="18"/>
      <c r="AV99" s="18"/>
      <c r="AW99" s="18"/>
    </row>
    <row r="100" spans="11:49" x14ac:dyDescent="0.45">
      <c r="M100" s="16"/>
      <c r="N100" s="15"/>
      <c r="O100" s="14"/>
      <c r="P100" s="14"/>
      <c r="Q100" s="14"/>
      <c r="R100" s="14"/>
      <c r="S100" s="14"/>
      <c r="T100" s="14"/>
      <c r="U100" s="14"/>
      <c r="X100" s="2"/>
      <c r="Y100" s="2"/>
      <c r="AC100" s="13"/>
      <c r="AD100" s="13"/>
      <c r="AE100" s="13"/>
      <c r="AF100" s="17"/>
      <c r="AH100" s="2"/>
      <c r="AL100" s="17"/>
      <c r="AM100" s="17"/>
      <c r="AN100" s="17"/>
      <c r="AO100" s="17"/>
      <c r="AP100" s="17"/>
      <c r="AQ100" s="17"/>
      <c r="AT100" s="19"/>
      <c r="AU100" s="18"/>
      <c r="AV100" s="18"/>
      <c r="AW100" s="18"/>
    </row>
    <row r="101" spans="11:49" x14ac:dyDescent="0.45">
      <c r="M101" s="16"/>
      <c r="N101" s="15"/>
      <c r="O101" s="14"/>
      <c r="P101" s="14"/>
      <c r="Q101" s="14"/>
      <c r="R101" s="14"/>
      <c r="S101" s="14"/>
      <c r="T101" s="14"/>
      <c r="U101" s="14"/>
      <c r="X101" s="2"/>
      <c r="Y101" s="2"/>
      <c r="AC101" s="13"/>
      <c r="AD101" s="13"/>
      <c r="AE101" s="13"/>
      <c r="AF101" s="17"/>
      <c r="AH101" s="2"/>
      <c r="AL101" s="17"/>
      <c r="AM101" s="17"/>
      <c r="AN101" s="17"/>
      <c r="AO101" s="17"/>
      <c r="AP101" s="17"/>
      <c r="AQ101" s="17"/>
      <c r="AT101" s="19"/>
      <c r="AU101" s="18"/>
      <c r="AV101" s="18"/>
      <c r="AW101" s="18"/>
    </row>
    <row r="102" spans="11:49" x14ac:dyDescent="0.45">
      <c r="M102" s="16"/>
      <c r="N102" s="15"/>
      <c r="O102" s="14"/>
      <c r="P102" s="14"/>
      <c r="Q102" s="14"/>
      <c r="R102" s="14"/>
      <c r="S102" s="14"/>
      <c r="T102" s="14"/>
      <c r="U102" s="14"/>
      <c r="X102" s="2"/>
      <c r="Y102" s="2"/>
      <c r="AC102" s="13"/>
      <c r="AD102" s="13"/>
      <c r="AE102" s="13"/>
      <c r="AF102" s="17"/>
      <c r="AH102" s="2"/>
      <c r="AL102" s="17"/>
      <c r="AM102" s="17"/>
      <c r="AN102" s="17"/>
      <c r="AO102" s="17"/>
      <c r="AP102" s="17"/>
      <c r="AQ102" s="17"/>
      <c r="AT102" s="19"/>
      <c r="AU102" s="18"/>
      <c r="AV102" s="18"/>
      <c r="AW102" s="18"/>
    </row>
    <row r="103" spans="11:49" x14ac:dyDescent="0.45">
      <c r="M103" s="16"/>
      <c r="N103" s="15"/>
      <c r="O103" s="14"/>
      <c r="P103" s="14"/>
      <c r="Q103" s="14"/>
      <c r="R103" s="14"/>
      <c r="S103" s="14"/>
      <c r="T103" s="14"/>
      <c r="U103" s="14"/>
      <c r="X103" s="2"/>
      <c r="Y103" s="2"/>
      <c r="AC103" s="13"/>
      <c r="AD103" s="13"/>
      <c r="AE103" s="13"/>
      <c r="AF103" s="17"/>
      <c r="AH103" s="2"/>
      <c r="AL103" s="17"/>
      <c r="AM103" s="17"/>
      <c r="AN103" s="17"/>
      <c r="AO103" s="17"/>
      <c r="AP103" s="17"/>
      <c r="AQ103" s="17"/>
      <c r="AT103" s="19"/>
      <c r="AU103" s="18"/>
      <c r="AV103" s="18"/>
      <c r="AW103" s="18"/>
    </row>
    <row r="104" spans="11:49" x14ac:dyDescent="0.45">
      <c r="M104" s="16"/>
      <c r="N104" s="15"/>
      <c r="O104" s="14"/>
      <c r="P104" s="14"/>
      <c r="Q104" s="14"/>
      <c r="R104" s="14"/>
      <c r="S104" s="14"/>
      <c r="T104" s="14"/>
      <c r="U104" s="14"/>
      <c r="X104" s="2"/>
      <c r="Y104" s="2"/>
      <c r="AC104" s="13"/>
      <c r="AD104" s="13"/>
      <c r="AE104" s="13"/>
      <c r="AF104" s="17"/>
      <c r="AH104" s="2"/>
      <c r="AL104" s="17"/>
      <c r="AM104" s="17"/>
      <c r="AN104" s="17"/>
      <c r="AO104" s="17"/>
      <c r="AP104" s="17"/>
      <c r="AQ104" s="17"/>
      <c r="AT104" s="19"/>
      <c r="AU104" s="18"/>
      <c r="AV104" s="18"/>
      <c r="AW104" s="18"/>
    </row>
    <row r="105" spans="11:49" x14ac:dyDescent="0.45">
      <c r="X105" s="2"/>
      <c r="Y105" s="2"/>
      <c r="AC105" s="13"/>
      <c r="AD105" s="13"/>
      <c r="AE105" s="13"/>
      <c r="AF105" s="17"/>
      <c r="AH105" s="2"/>
      <c r="AL105" s="17"/>
      <c r="AM105" s="17"/>
      <c r="AN105" s="17"/>
      <c r="AO105" s="17"/>
      <c r="AP105" s="17"/>
      <c r="AQ105" s="17"/>
      <c r="AT105" s="19"/>
      <c r="AU105" s="18"/>
      <c r="AV105" s="18"/>
      <c r="AW105" s="18"/>
    </row>
    <row r="106" spans="11:49" x14ac:dyDescent="0.45">
      <c r="X106" s="2"/>
      <c r="Y106" s="2"/>
      <c r="AC106" s="13"/>
      <c r="AD106" s="13"/>
      <c r="AE106" s="13"/>
      <c r="AF106" s="17"/>
      <c r="AH106" s="2"/>
      <c r="AL106" s="17"/>
      <c r="AM106" s="17"/>
      <c r="AN106" s="17"/>
      <c r="AO106" s="17"/>
      <c r="AP106" s="17"/>
      <c r="AQ106" s="17"/>
      <c r="AT106" s="19"/>
      <c r="AU106" s="18"/>
      <c r="AV106" s="18"/>
      <c r="AW106" s="18"/>
    </row>
    <row r="107" spans="11:49" x14ac:dyDescent="0.45">
      <c r="X107" s="2"/>
      <c r="Y107" s="2"/>
      <c r="AC107" s="13"/>
      <c r="AD107" s="13"/>
      <c r="AE107" s="13"/>
      <c r="AF107" s="17"/>
      <c r="AH107" s="2"/>
      <c r="AL107" s="17"/>
      <c r="AM107" s="17"/>
      <c r="AN107" s="17"/>
      <c r="AO107" s="17"/>
      <c r="AP107" s="17"/>
      <c r="AQ107" s="17"/>
      <c r="AT107" s="19"/>
      <c r="AU107" s="18"/>
      <c r="AV107" s="18"/>
      <c r="AW107" s="18"/>
    </row>
    <row r="108" spans="11:49" x14ac:dyDescent="0.45">
      <c r="X108" s="2"/>
      <c r="Y108" s="2"/>
      <c r="AC108" s="13"/>
      <c r="AD108" s="13"/>
      <c r="AE108" s="13"/>
      <c r="AF108" s="17"/>
      <c r="AH108" s="2"/>
      <c r="AL108" s="17"/>
      <c r="AM108" s="17"/>
      <c r="AN108" s="17"/>
      <c r="AO108" s="17"/>
      <c r="AP108" s="17"/>
      <c r="AQ108" s="17"/>
      <c r="AT108" s="19"/>
      <c r="AU108" s="18"/>
      <c r="AV108" s="18"/>
      <c r="AW108" s="18"/>
    </row>
    <row r="109" spans="11:49" x14ac:dyDescent="0.45">
      <c r="X109" s="2"/>
      <c r="Y109" s="2"/>
      <c r="AC109" s="13"/>
      <c r="AD109" s="13"/>
      <c r="AE109" s="13"/>
      <c r="AF109" s="17"/>
      <c r="AH109" s="2"/>
      <c r="AL109" s="17"/>
      <c r="AM109" s="17"/>
      <c r="AN109" s="17"/>
      <c r="AO109" s="17"/>
      <c r="AP109" s="17"/>
      <c r="AQ109" s="17"/>
      <c r="AT109" s="19"/>
      <c r="AU109" s="18"/>
      <c r="AV109" s="18"/>
      <c r="AW109" s="18"/>
    </row>
    <row r="110" spans="11:49" x14ac:dyDescent="0.45">
      <c r="X110" s="2"/>
      <c r="Y110" s="2"/>
      <c r="AC110" s="13"/>
      <c r="AD110" s="13"/>
      <c r="AE110" s="13"/>
      <c r="AF110" s="17"/>
      <c r="AH110" s="2"/>
      <c r="AL110" s="17"/>
      <c r="AM110" s="17"/>
      <c r="AN110" s="17"/>
      <c r="AO110" s="17"/>
      <c r="AP110" s="17"/>
      <c r="AQ110" s="17"/>
      <c r="AT110" s="19"/>
      <c r="AU110" s="18"/>
      <c r="AV110" s="18"/>
      <c r="AW110" s="18"/>
    </row>
    <row r="111" spans="11:49" x14ac:dyDescent="0.45">
      <c r="X111" s="2"/>
      <c r="Y111" s="2"/>
      <c r="AC111" s="13"/>
      <c r="AD111" s="13"/>
      <c r="AE111" s="13"/>
      <c r="AF111" s="17"/>
      <c r="AH111" s="2"/>
      <c r="AL111" s="17"/>
      <c r="AM111" s="17"/>
      <c r="AN111" s="17"/>
      <c r="AO111" s="17"/>
      <c r="AP111" s="17"/>
      <c r="AQ111" s="17"/>
      <c r="AT111" s="19"/>
      <c r="AU111" s="18"/>
      <c r="AV111" s="18"/>
      <c r="AW111" s="18"/>
    </row>
    <row r="112" spans="11:49" x14ac:dyDescent="0.45">
      <c r="X112" s="2"/>
      <c r="Y112" s="2"/>
      <c r="AC112" s="13"/>
      <c r="AD112" s="13"/>
      <c r="AE112" s="13"/>
      <c r="AF112" s="17"/>
      <c r="AH112" s="2"/>
      <c r="AL112" s="17"/>
      <c r="AM112" s="17"/>
      <c r="AN112" s="17"/>
      <c r="AO112" s="17"/>
      <c r="AP112" s="17"/>
      <c r="AQ112" s="17"/>
      <c r="AT112" s="19"/>
      <c r="AU112" s="18"/>
      <c r="AV112" s="18"/>
      <c r="AW112" s="18"/>
    </row>
    <row r="113" spans="24:49" x14ac:dyDescent="0.45">
      <c r="X113" s="2"/>
      <c r="Y113" s="2"/>
      <c r="AC113" s="13"/>
      <c r="AD113" s="13"/>
      <c r="AE113" s="13"/>
      <c r="AF113" s="17"/>
      <c r="AH113" s="2"/>
      <c r="AL113" s="17"/>
      <c r="AM113" s="17"/>
      <c r="AN113" s="17"/>
      <c r="AO113" s="17"/>
      <c r="AP113" s="17"/>
      <c r="AQ113" s="17"/>
      <c r="AT113" s="19"/>
      <c r="AU113" s="18"/>
      <c r="AV113" s="18"/>
      <c r="AW113" s="18"/>
    </row>
    <row r="114" spans="24:49" x14ac:dyDescent="0.45">
      <c r="X114" s="2"/>
      <c r="Y114" s="2"/>
      <c r="AC114" s="13"/>
      <c r="AD114" s="13"/>
      <c r="AE114" s="13"/>
      <c r="AF114" s="17"/>
      <c r="AH114" s="2"/>
      <c r="AL114" s="17"/>
      <c r="AM114" s="17"/>
      <c r="AN114" s="17"/>
      <c r="AO114" s="17"/>
      <c r="AP114" s="17"/>
      <c r="AQ114" s="17"/>
      <c r="AT114" s="19"/>
      <c r="AU114" s="18"/>
      <c r="AV114" s="18"/>
      <c r="AW114" s="18"/>
    </row>
    <row r="115" spans="24:49" x14ac:dyDescent="0.45">
      <c r="X115" s="2"/>
      <c r="Y115" s="2"/>
      <c r="AC115" s="13"/>
      <c r="AD115" s="13"/>
      <c r="AE115" s="13"/>
      <c r="AF115" s="17"/>
      <c r="AH115" s="2"/>
      <c r="AL115" s="17"/>
      <c r="AM115" s="17"/>
      <c r="AN115" s="17"/>
      <c r="AO115" s="17"/>
      <c r="AP115" s="17"/>
      <c r="AQ115" s="17"/>
      <c r="AT115" s="19"/>
      <c r="AU115" s="18"/>
      <c r="AV115" s="18"/>
      <c r="AW115" s="18"/>
    </row>
    <row r="116" spans="24:49" x14ac:dyDescent="0.45">
      <c r="X116" s="2"/>
      <c r="Y116" s="2"/>
      <c r="AC116" s="13"/>
      <c r="AD116" s="13"/>
      <c r="AE116" s="13"/>
      <c r="AF116" s="17"/>
      <c r="AH116" s="2"/>
      <c r="AL116" s="17"/>
      <c r="AM116" s="17"/>
      <c r="AN116" s="17"/>
      <c r="AO116" s="17"/>
      <c r="AP116" s="17"/>
      <c r="AQ116" s="17"/>
      <c r="AT116" s="19"/>
      <c r="AU116" s="18"/>
      <c r="AV116" s="18"/>
      <c r="AW116" s="18"/>
    </row>
    <row r="117" spans="24:49" x14ac:dyDescent="0.45">
      <c r="X117" s="2"/>
      <c r="Y117" s="2"/>
      <c r="AC117" s="13"/>
      <c r="AD117" s="13"/>
      <c r="AE117" s="13"/>
      <c r="AF117" s="17"/>
      <c r="AH117" s="2"/>
      <c r="AL117" s="17"/>
      <c r="AM117" s="17"/>
      <c r="AN117" s="17"/>
      <c r="AO117" s="17"/>
      <c r="AP117" s="17"/>
      <c r="AQ117" s="17"/>
      <c r="AT117" s="19"/>
      <c r="AU117" s="18"/>
      <c r="AV117" s="18"/>
      <c r="AW117" s="18"/>
    </row>
    <row r="118" spans="24:49" x14ac:dyDescent="0.45">
      <c r="X118" s="2"/>
      <c r="Y118" s="2"/>
      <c r="AC118" s="13"/>
      <c r="AD118" s="13"/>
      <c r="AE118" s="13"/>
      <c r="AF118" s="17"/>
      <c r="AH118" s="2"/>
      <c r="AL118" s="17"/>
      <c r="AM118" s="17"/>
      <c r="AN118" s="17"/>
      <c r="AO118" s="17"/>
      <c r="AP118" s="17"/>
      <c r="AQ118" s="17"/>
      <c r="AT118" s="19"/>
      <c r="AU118" s="18"/>
      <c r="AV118" s="18"/>
      <c r="AW118" s="18"/>
    </row>
    <row r="119" spans="24:49" x14ac:dyDescent="0.45">
      <c r="X119" s="2"/>
      <c r="Y119" s="2"/>
      <c r="AC119" s="13"/>
      <c r="AD119" s="13"/>
      <c r="AE119" s="13"/>
      <c r="AF119" s="17"/>
      <c r="AH119" s="2"/>
      <c r="AL119" s="17"/>
      <c r="AM119" s="17"/>
      <c r="AN119" s="17"/>
      <c r="AO119" s="17"/>
      <c r="AP119" s="17"/>
      <c r="AQ119" s="17"/>
      <c r="AT119" s="19"/>
      <c r="AU119" s="18"/>
      <c r="AV119" s="18"/>
      <c r="AW119" s="18"/>
    </row>
    <row r="120" spans="24:49" x14ac:dyDescent="0.45">
      <c r="X120" s="2"/>
      <c r="Y120" s="2"/>
      <c r="AC120" s="13"/>
      <c r="AD120" s="13"/>
      <c r="AE120" s="13"/>
      <c r="AF120" s="17"/>
      <c r="AH120" s="2"/>
      <c r="AL120" s="17"/>
      <c r="AM120" s="17"/>
      <c r="AN120" s="17"/>
      <c r="AO120" s="17"/>
      <c r="AP120" s="17"/>
      <c r="AQ120" s="17"/>
      <c r="AT120" s="19"/>
      <c r="AU120" s="18"/>
      <c r="AV120" s="18"/>
      <c r="AW120" s="18"/>
    </row>
    <row r="121" spans="24:49" x14ac:dyDescent="0.45">
      <c r="X121" s="2"/>
      <c r="Y121" s="2"/>
      <c r="AC121" s="13"/>
      <c r="AD121" s="13"/>
      <c r="AE121" s="13"/>
      <c r="AF121" s="17"/>
      <c r="AH121" s="2"/>
      <c r="AL121" s="17"/>
      <c r="AM121" s="17"/>
      <c r="AN121" s="17"/>
      <c r="AO121" s="17"/>
      <c r="AP121" s="17"/>
      <c r="AQ121" s="17"/>
      <c r="AT121" s="19"/>
      <c r="AU121" s="18"/>
      <c r="AV121" s="18"/>
      <c r="AW121" s="18"/>
    </row>
    <row r="122" spans="24:49" x14ac:dyDescent="0.45">
      <c r="X122" s="2"/>
      <c r="Y122" s="2"/>
      <c r="AC122" s="13"/>
      <c r="AD122" s="13"/>
      <c r="AE122" s="13"/>
      <c r="AF122" s="17"/>
      <c r="AH122" s="2"/>
      <c r="AL122" s="17"/>
      <c r="AM122" s="17"/>
      <c r="AN122" s="17"/>
      <c r="AO122" s="17"/>
      <c r="AP122" s="17"/>
      <c r="AQ122" s="17"/>
      <c r="AT122" s="19"/>
      <c r="AU122" s="18"/>
      <c r="AV122" s="18"/>
      <c r="AW122" s="18"/>
    </row>
    <row r="123" spans="24:49" x14ac:dyDescent="0.45">
      <c r="X123" s="2"/>
      <c r="Y123" s="2"/>
      <c r="AC123" s="13"/>
      <c r="AD123" s="13"/>
      <c r="AE123" s="13"/>
      <c r="AF123" s="17"/>
      <c r="AH123" s="2"/>
      <c r="AL123" s="17"/>
      <c r="AM123" s="17"/>
      <c r="AN123" s="17"/>
      <c r="AO123" s="17"/>
      <c r="AP123" s="17"/>
      <c r="AQ123" s="17"/>
      <c r="AT123" s="19"/>
      <c r="AU123" s="18"/>
      <c r="AV123" s="18"/>
      <c r="AW123" s="18"/>
    </row>
    <row r="124" spans="24:49" x14ac:dyDescent="0.45">
      <c r="X124" s="2"/>
      <c r="Y124" s="2"/>
      <c r="AC124" s="13"/>
      <c r="AD124" s="13"/>
      <c r="AE124" s="13"/>
      <c r="AF124" s="17"/>
      <c r="AH124" s="2"/>
      <c r="AL124" s="17"/>
      <c r="AM124" s="17"/>
      <c r="AN124" s="17"/>
      <c r="AO124" s="17"/>
      <c r="AP124" s="17"/>
      <c r="AQ124" s="17"/>
      <c r="AT124" s="19"/>
      <c r="AU124" s="18"/>
      <c r="AV124" s="18"/>
      <c r="AW124" s="18"/>
    </row>
    <row r="125" spans="24:49" x14ac:dyDescent="0.45">
      <c r="X125" s="2"/>
      <c r="Y125" s="2"/>
      <c r="AC125" s="13"/>
      <c r="AD125" s="13"/>
      <c r="AE125" s="13"/>
      <c r="AF125" s="17"/>
      <c r="AH125" s="2"/>
      <c r="AL125" s="17"/>
      <c r="AM125" s="17"/>
      <c r="AN125" s="17"/>
      <c r="AO125" s="17"/>
      <c r="AP125" s="17"/>
      <c r="AQ125" s="17"/>
      <c r="AT125" s="19"/>
      <c r="AU125" s="18"/>
      <c r="AV125" s="18"/>
      <c r="AW125" s="18"/>
    </row>
    <row r="126" spans="24:49" x14ac:dyDescent="0.45">
      <c r="X126" s="2"/>
      <c r="Y126" s="2"/>
      <c r="AC126" s="13"/>
      <c r="AD126" s="13"/>
      <c r="AE126" s="13"/>
      <c r="AF126" s="17"/>
      <c r="AH126" s="2"/>
      <c r="AL126" s="17"/>
      <c r="AM126" s="17"/>
      <c r="AN126" s="17"/>
      <c r="AO126" s="17"/>
      <c r="AP126" s="17"/>
      <c r="AQ126" s="17"/>
      <c r="AT126" s="19"/>
      <c r="AU126" s="18"/>
      <c r="AV126" s="18"/>
      <c r="AW126" s="18"/>
    </row>
    <row r="127" spans="24:49" x14ac:dyDescent="0.45">
      <c r="X127" s="2"/>
      <c r="Y127" s="2"/>
      <c r="AC127" s="13"/>
      <c r="AD127" s="13"/>
      <c r="AE127" s="13"/>
      <c r="AF127" s="17"/>
      <c r="AH127" s="2"/>
      <c r="AL127" s="17"/>
      <c r="AM127" s="17"/>
      <c r="AN127" s="17"/>
      <c r="AO127" s="17"/>
      <c r="AP127" s="17"/>
      <c r="AQ127" s="17"/>
      <c r="AT127" s="19"/>
      <c r="AU127" s="18"/>
      <c r="AV127" s="18"/>
      <c r="AW127" s="18"/>
    </row>
    <row r="128" spans="24:49" x14ac:dyDescent="0.45">
      <c r="X128" s="2"/>
      <c r="Y128" s="2"/>
      <c r="AC128" s="13"/>
      <c r="AD128" s="13"/>
      <c r="AE128" s="13"/>
      <c r="AF128" s="17"/>
      <c r="AH128" s="2"/>
      <c r="AL128" s="17"/>
      <c r="AM128" s="17"/>
      <c r="AN128" s="17"/>
      <c r="AO128" s="17"/>
      <c r="AP128" s="17"/>
      <c r="AQ128" s="17"/>
      <c r="AT128" s="19"/>
      <c r="AU128" s="18"/>
      <c r="AV128" s="18"/>
      <c r="AW128" s="18"/>
    </row>
    <row r="129" spans="24:49" x14ac:dyDescent="0.45">
      <c r="X129" s="2"/>
      <c r="Y129" s="2"/>
      <c r="AC129" s="13"/>
      <c r="AD129" s="13"/>
      <c r="AE129" s="13"/>
      <c r="AF129" s="17"/>
      <c r="AH129" s="2"/>
      <c r="AL129" s="17"/>
      <c r="AM129" s="17"/>
      <c r="AN129" s="17"/>
      <c r="AO129" s="17"/>
      <c r="AP129" s="17"/>
      <c r="AQ129" s="17"/>
      <c r="AT129" s="19"/>
      <c r="AU129" s="18"/>
      <c r="AV129" s="18"/>
      <c r="AW129" s="18"/>
    </row>
    <row r="130" spans="24:49" x14ac:dyDescent="0.45">
      <c r="X130" s="2"/>
      <c r="Y130" s="2"/>
      <c r="AC130" s="13"/>
      <c r="AD130" s="13"/>
      <c r="AE130" s="13"/>
      <c r="AF130" s="17"/>
      <c r="AH130" s="2"/>
      <c r="AL130" s="17"/>
      <c r="AM130" s="17"/>
      <c r="AN130" s="17"/>
      <c r="AO130" s="17"/>
      <c r="AP130" s="17"/>
      <c r="AQ130" s="17"/>
      <c r="AT130" s="19"/>
      <c r="AU130" s="18"/>
      <c r="AV130" s="18"/>
      <c r="AW130" s="18"/>
    </row>
    <row r="131" spans="24:49" x14ac:dyDescent="0.45">
      <c r="X131" s="2"/>
      <c r="Y131" s="2"/>
      <c r="AC131" s="13"/>
      <c r="AD131" s="13"/>
      <c r="AE131" s="13"/>
      <c r="AF131" s="17"/>
      <c r="AH131" s="2"/>
      <c r="AL131" s="17"/>
      <c r="AM131" s="17"/>
      <c r="AN131" s="17"/>
      <c r="AO131" s="17"/>
      <c r="AP131" s="17"/>
      <c r="AQ131" s="17"/>
      <c r="AT131" s="19"/>
      <c r="AU131" s="18"/>
      <c r="AV131" s="18"/>
      <c r="AW131" s="18"/>
    </row>
    <row r="132" spans="24:49" x14ac:dyDescent="0.45">
      <c r="X132" s="2"/>
      <c r="Y132" s="2"/>
      <c r="AC132" s="13"/>
      <c r="AD132" s="13"/>
      <c r="AE132" s="13"/>
      <c r="AF132" s="17"/>
      <c r="AH132" s="2"/>
      <c r="AL132" s="17"/>
      <c r="AM132" s="17"/>
      <c r="AN132" s="17"/>
      <c r="AO132" s="17"/>
      <c r="AP132" s="17"/>
      <c r="AQ132" s="17"/>
      <c r="AT132" s="19"/>
      <c r="AU132" s="18"/>
      <c r="AV132" s="18"/>
      <c r="AW132" s="18"/>
    </row>
    <row r="133" spans="24:49" x14ac:dyDescent="0.45">
      <c r="X133" s="2"/>
      <c r="Y133" s="2"/>
      <c r="AC133" s="13"/>
      <c r="AD133" s="13"/>
      <c r="AE133" s="13"/>
      <c r="AF133" s="17"/>
      <c r="AH133" s="2"/>
      <c r="AL133" s="17"/>
      <c r="AM133" s="17"/>
      <c r="AN133" s="17"/>
      <c r="AO133" s="17"/>
      <c r="AP133" s="17"/>
      <c r="AQ133" s="17"/>
      <c r="AT133" s="19"/>
      <c r="AU133" s="18"/>
      <c r="AV133" s="18"/>
      <c r="AW133" s="18"/>
    </row>
    <row r="134" spans="24:49" x14ac:dyDescent="0.45">
      <c r="X134" s="2"/>
      <c r="Y134" s="2"/>
      <c r="AC134" s="13"/>
      <c r="AD134" s="13"/>
      <c r="AE134" s="13"/>
      <c r="AF134" s="17"/>
      <c r="AH134" s="2"/>
      <c r="AL134" s="17"/>
      <c r="AM134" s="17"/>
      <c r="AN134" s="17"/>
      <c r="AO134" s="17"/>
      <c r="AP134" s="17"/>
      <c r="AQ134" s="17"/>
      <c r="AT134" s="19"/>
      <c r="AU134" s="18"/>
      <c r="AV134" s="18"/>
      <c r="AW134" s="18"/>
    </row>
    <row r="135" spans="24:49" x14ac:dyDescent="0.45">
      <c r="X135" s="2"/>
      <c r="Y135" s="2"/>
      <c r="AC135" s="13"/>
      <c r="AD135" s="13"/>
      <c r="AE135" s="13"/>
      <c r="AF135" s="17"/>
      <c r="AH135" s="2"/>
      <c r="AL135" s="17"/>
      <c r="AM135" s="17"/>
      <c r="AN135" s="17"/>
      <c r="AO135" s="17"/>
      <c r="AP135" s="17"/>
      <c r="AQ135" s="17"/>
      <c r="AT135" s="19"/>
      <c r="AU135" s="18"/>
      <c r="AV135" s="18"/>
      <c r="AW135" s="18"/>
    </row>
    <row r="136" spans="24:49" x14ac:dyDescent="0.45">
      <c r="X136" s="2"/>
      <c r="Y136" s="2"/>
      <c r="AC136" s="13"/>
      <c r="AD136" s="13"/>
      <c r="AE136" s="13"/>
      <c r="AF136" s="17"/>
      <c r="AH136" s="2"/>
      <c r="AL136" s="17"/>
      <c r="AM136" s="17"/>
      <c r="AN136" s="17"/>
      <c r="AO136" s="17"/>
      <c r="AP136" s="17"/>
      <c r="AQ136" s="17"/>
      <c r="AT136" s="19"/>
      <c r="AU136" s="18"/>
      <c r="AV136" s="18"/>
      <c r="AW136" s="18"/>
    </row>
    <row r="137" spans="24:49" x14ac:dyDescent="0.45">
      <c r="X137" s="2"/>
      <c r="Y137" s="2"/>
      <c r="AC137" s="13"/>
      <c r="AD137" s="13"/>
      <c r="AE137" s="13"/>
      <c r="AF137" s="17"/>
      <c r="AH137" s="2"/>
      <c r="AL137" s="17"/>
      <c r="AM137" s="17"/>
      <c r="AN137" s="17"/>
      <c r="AO137" s="17"/>
      <c r="AP137" s="17"/>
      <c r="AQ137" s="17"/>
      <c r="AT137" s="19"/>
      <c r="AU137" s="18"/>
      <c r="AV137" s="18"/>
      <c r="AW137" s="18"/>
    </row>
    <row r="138" spans="24:49" x14ac:dyDescent="0.45">
      <c r="X138" s="2"/>
      <c r="Y138" s="2"/>
      <c r="AC138" s="13"/>
      <c r="AD138" s="13"/>
      <c r="AE138" s="13"/>
      <c r="AF138" s="17"/>
      <c r="AH138" s="2"/>
      <c r="AL138" s="17"/>
      <c r="AM138" s="17"/>
      <c r="AN138" s="17"/>
      <c r="AO138" s="17"/>
      <c r="AP138" s="17"/>
      <c r="AQ138" s="17"/>
      <c r="AT138" s="19"/>
      <c r="AU138" s="18"/>
      <c r="AV138" s="18"/>
      <c r="AW138" s="18"/>
    </row>
    <row r="139" spans="24:49" x14ac:dyDescent="0.45">
      <c r="X139" s="2"/>
      <c r="Y139" s="2"/>
      <c r="AC139" s="13"/>
      <c r="AD139" s="13"/>
      <c r="AE139" s="13"/>
      <c r="AF139" s="17"/>
      <c r="AH139" s="2"/>
      <c r="AL139" s="17"/>
      <c r="AM139" s="17"/>
      <c r="AN139" s="17"/>
      <c r="AO139" s="17"/>
      <c r="AP139" s="17"/>
      <c r="AQ139" s="17"/>
      <c r="AT139" s="19"/>
      <c r="AU139" s="18"/>
      <c r="AV139" s="18"/>
      <c r="AW139" s="18"/>
    </row>
    <row r="140" spans="24:49" x14ac:dyDescent="0.45">
      <c r="X140" s="2"/>
      <c r="Y140" s="2"/>
      <c r="AC140" s="13"/>
      <c r="AD140" s="13"/>
      <c r="AE140" s="13"/>
      <c r="AF140" s="17"/>
      <c r="AH140" s="2"/>
      <c r="AL140" s="17"/>
      <c r="AM140" s="17"/>
      <c r="AN140" s="17"/>
      <c r="AO140" s="17"/>
      <c r="AP140" s="17"/>
      <c r="AQ140" s="17"/>
      <c r="AT140" s="19"/>
      <c r="AU140" s="18"/>
      <c r="AV140" s="18"/>
      <c r="AW140" s="18"/>
    </row>
    <row r="141" spans="24:49" x14ac:dyDescent="0.45">
      <c r="X141" s="2"/>
      <c r="Y141" s="2"/>
      <c r="AC141" s="13"/>
      <c r="AD141" s="13"/>
      <c r="AE141" s="13"/>
      <c r="AF141" s="17"/>
      <c r="AH141" s="2"/>
      <c r="AL141" s="17"/>
      <c r="AM141" s="17"/>
      <c r="AN141" s="17"/>
      <c r="AO141" s="17"/>
      <c r="AP141" s="17"/>
      <c r="AQ141" s="17"/>
      <c r="AT141" s="19"/>
      <c r="AU141" s="18"/>
      <c r="AV141" s="18"/>
      <c r="AW141" s="18"/>
    </row>
    <row r="142" spans="24:49" x14ac:dyDescent="0.45">
      <c r="X142" s="2"/>
      <c r="Y142" s="2"/>
      <c r="AC142" s="13"/>
      <c r="AD142" s="13"/>
      <c r="AE142" s="13"/>
      <c r="AF142" s="17"/>
      <c r="AH142" s="2"/>
      <c r="AL142" s="17"/>
      <c r="AM142" s="17"/>
      <c r="AN142" s="17"/>
      <c r="AO142" s="17"/>
      <c r="AP142" s="17"/>
      <c r="AQ142" s="17"/>
      <c r="AT142" s="19"/>
      <c r="AU142" s="18"/>
      <c r="AV142" s="18"/>
      <c r="AW142" s="18"/>
    </row>
    <row r="143" spans="24:49" x14ac:dyDescent="0.45">
      <c r="X143" s="2"/>
      <c r="Y143" s="2"/>
      <c r="AC143" s="13"/>
      <c r="AD143" s="13"/>
      <c r="AE143" s="13"/>
      <c r="AF143" s="17"/>
      <c r="AH143" s="2"/>
      <c r="AL143" s="17"/>
      <c r="AM143" s="17"/>
      <c r="AN143" s="17"/>
      <c r="AO143" s="17"/>
      <c r="AP143" s="17"/>
      <c r="AQ143" s="17"/>
      <c r="AT143" s="19"/>
      <c r="AU143" s="18"/>
      <c r="AV143" s="18"/>
      <c r="AW143" s="18"/>
    </row>
    <row r="144" spans="24:49" x14ac:dyDescent="0.45">
      <c r="X144" s="2"/>
      <c r="Y144" s="2"/>
      <c r="AC144" s="13"/>
      <c r="AD144" s="13"/>
      <c r="AE144" s="13"/>
      <c r="AF144" s="17"/>
      <c r="AH144" s="2"/>
      <c r="AL144" s="17"/>
      <c r="AM144" s="17"/>
      <c r="AN144" s="17"/>
      <c r="AO144" s="17"/>
      <c r="AP144" s="17"/>
      <c r="AQ144" s="17"/>
      <c r="AT144" s="19"/>
      <c r="AU144" s="18"/>
      <c r="AV144" s="18"/>
      <c r="AW144" s="18"/>
    </row>
    <row r="145" spans="24:49" x14ac:dyDescent="0.45">
      <c r="X145" s="2"/>
      <c r="Y145" s="2"/>
      <c r="AC145" s="13"/>
      <c r="AD145" s="13"/>
      <c r="AE145" s="13"/>
      <c r="AF145" s="17"/>
      <c r="AH145" s="2"/>
      <c r="AL145" s="17"/>
      <c r="AM145" s="17"/>
      <c r="AN145" s="17"/>
      <c r="AO145" s="17"/>
      <c r="AP145" s="17"/>
      <c r="AQ145" s="17"/>
      <c r="AT145" s="19"/>
      <c r="AU145" s="18"/>
      <c r="AV145" s="18"/>
      <c r="AW145" s="18"/>
    </row>
    <row r="146" spans="24:49" x14ac:dyDescent="0.45">
      <c r="X146" s="2"/>
      <c r="Y146" s="2"/>
      <c r="AC146" s="13"/>
      <c r="AD146" s="13"/>
      <c r="AE146" s="13"/>
      <c r="AF146" s="17"/>
      <c r="AH146" s="2"/>
      <c r="AL146" s="17"/>
      <c r="AM146" s="17"/>
      <c r="AN146" s="17"/>
      <c r="AO146" s="17"/>
      <c r="AP146" s="17"/>
      <c r="AQ146" s="17"/>
      <c r="AT146" s="19"/>
      <c r="AU146" s="18"/>
      <c r="AV146" s="18"/>
      <c r="AW146" s="18"/>
    </row>
    <row r="147" spans="24:49" x14ac:dyDescent="0.45">
      <c r="X147" s="2"/>
      <c r="Y147" s="2"/>
      <c r="AC147" s="13"/>
      <c r="AD147" s="13"/>
      <c r="AE147" s="13"/>
      <c r="AF147" s="17"/>
      <c r="AH147" s="2"/>
      <c r="AL147" s="17"/>
      <c r="AM147" s="17"/>
      <c r="AN147" s="17"/>
      <c r="AO147" s="17"/>
      <c r="AP147" s="17"/>
      <c r="AQ147" s="17"/>
      <c r="AT147" s="19"/>
      <c r="AU147" s="18"/>
      <c r="AV147" s="18"/>
      <c r="AW147" s="18"/>
    </row>
    <row r="148" spans="24:49" x14ac:dyDescent="0.45">
      <c r="X148" s="2"/>
      <c r="Y148" s="2"/>
      <c r="AC148" s="13"/>
      <c r="AD148" s="13"/>
      <c r="AE148" s="13"/>
      <c r="AF148" s="17"/>
      <c r="AH148" s="2"/>
      <c r="AL148" s="17"/>
      <c r="AM148" s="17"/>
      <c r="AN148" s="17"/>
      <c r="AO148" s="17"/>
      <c r="AP148" s="17"/>
      <c r="AQ148" s="17"/>
      <c r="AT148" s="19"/>
      <c r="AU148" s="18"/>
      <c r="AV148" s="18"/>
      <c r="AW148" s="18"/>
    </row>
    <row r="149" spans="24:49" x14ac:dyDescent="0.45">
      <c r="X149" s="2"/>
      <c r="Y149" s="2"/>
      <c r="AC149" s="13"/>
      <c r="AD149" s="13"/>
      <c r="AE149" s="13"/>
      <c r="AF149" s="17"/>
      <c r="AH149" s="2"/>
      <c r="AL149" s="17"/>
      <c r="AM149" s="17"/>
      <c r="AN149" s="17"/>
      <c r="AO149" s="17"/>
      <c r="AP149" s="17"/>
      <c r="AQ149" s="17"/>
      <c r="AT149" s="19"/>
      <c r="AU149" s="18"/>
      <c r="AV149" s="18"/>
      <c r="AW149" s="18"/>
    </row>
    <row r="150" spans="24:49" x14ac:dyDescent="0.45">
      <c r="X150" s="2"/>
      <c r="Y150" s="2"/>
      <c r="AC150" s="13"/>
      <c r="AD150" s="13"/>
      <c r="AE150" s="13"/>
      <c r="AF150" s="17"/>
      <c r="AH150" s="2"/>
      <c r="AL150" s="17"/>
      <c r="AM150" s="17"/>
      <c r="AN150" s="17"/>
      <c r="AO150" s="17"/>
      <c r="AP150" s="17"/>
      <c r="AQ150" s="17"/>
      <c r="AT150" s="19"/>
      <c r="AU150" s="18"/>
      <c r="AV150" s="18"/>
      <c r="AW150" s="18"/>
    </row>
    <row r="151" spans="24:49" x14ac:dyDescent="0.45">
      <c r="X151" s="2"/>
      <c r="Y151" s="2"/>
      <c r="AC151" s="13"/>
      <c r="AD151" s="13"/>
      <c r="AE151" s="13"/>
      <c r="AF151" s="17"/>
      <c r="AH151" s="2"/>
      <c r="AL151" s="17"/>
      <c r="AM151" s="17"/>
      <c r="AN151" s="17"/>
      <c r="AO151" s="17"/>
      <c r="AP151" s="17"/>
      <c r="AQ151" s="17"/>
      <c r="AT151" s="19"/>
      <c r="AU151" s="18"/>
      <c r="AV151" s="18"/>
      <c r="AW151" s="18"/>
    </row>
    <row r="152" spans="24:49" x14ac:dyDescent="0.45">
      <c r="X152" s="2"/>
      <c r="Y152" s="2"/>
      <c r="AC152" s="13"/>
      <c r="AD152" s="13"/>
      <c r="AE152" s="13"/>
      <c r="AF152" s="17"/>
      <c r="AH152" s="2"/>
      <c r="AL152" s="17"/>
      <c r="AM152" s="17"/>
      <c r="AN152" s="17"/>
      <c r="AO152" s="17"/>
      <c r="AP152" s="17"/>
      <c r="AQ152" s="17"/>
      <c r="AT152" s="19"/>
      <c r="AU152" s="18"/>
      <c r="AV152" s="18"/>
      <c r="AW152" s="18"/>
    </row>
    <row r="153" spans="24:49" x14ac:dyDescent="0.45">
      <c r="X153" s="2"/>
      <c r="Y153" s="2"/>
      <c r="AC153" s="13"/>
      <c r="AD153" s="13"/>
      <c r="AE153" s="13"/>
      <c r="AF153" s="17"/>
      <c r="AH153" s="2"/>
      <c r="AL153" s="17"/>
      <c r="AM153" s="17"/>
      <c r="AN153" s="17"/>
      <c r="AO153" s="17"/>
      <c r="AP153" s="17"/>
      <c r="AQ153" s="17"/>
      <c r="AT153" s="19"/>
      <c r="AU153" s="18"/>
      <c r="AV153" s="18"/>
      <c r="AW153" s="18"/>
    </row>
    <row r="154" spans="24:49" x14ac:dyDescent="0.45">
      <c r="X154" s="2"/>
      <c r="Y154" s="2"/>
      <c r="AC154" s="13"/>
      <c r="AD154" s="13"/>
      <c r="AE154" s="13"/>
      <c r="AF154" s="17"/>
      <c r="AH154" s="2"/>
      <c r="AL154" s="17"/>
      <c r="AM154" s="17"/>
      <c r="AN154" s="17"/>
      <c r="AO154" s="17"/>
      <c r="AP154" s="17"/>
      <c r="AQ154" s="17"/>
      <c r="AT154" s="19"/>
      <c r="AU154" s="18"/>
      <c r="AV154" s="18"/>
      <c r="AW154" s="18"/>
    </row>
    <row r="155" spans="24:49" x14ac:dyDescent="0.45">
      <c r="X155" s="2"/>
      <c r="Y155" s="2"/>
      <c r="AC155" s="13"/>
      <c r="AD155" s="13"/>
      <c r="AE155" s="13"/>
      <c r="AF155" s="17"/>
      <c r="AH155" s="2"/>
      <c r="AL155" s="17"/>
      <c r="AM155" s="17"/>
      <c r="AN155" s="17"/>
      <c r="AO155" s="17"/>
      <c r="AP155" s="17"/>
      <c r="AQ155" s="17"/>
      <c r="AT155" s="19"/>
      <c r="AU155" s="18"/>
      <c r="AV155" s="18"/>
      <c r="AW155" s="18"/>
    </row>
    <row r="156" spans="24:49" x14ac:dyDescent="0.45">
      <c r="X156" s="2"/>
      <c r="Y156" s="2"/>
      <c r="AC156" s="13"/>
      <c r="AD156" s="13"/>
      <c r="AE156" s="13"/>
      <c r="AF156" s="17"/>
      <c r="AH156" s="2"/>
      <c r="AL156" s="17"/>
      <c r="AM156" s="17"/>
      <c r="AN156" s="17"/>
      <c r="AO156" s="17"/>
      <c r="AP156" s="17"/>
      <c r="AQ156" s="17"/>
      <c r="AT156" s="19"/>
      <c r="AU156" s="18"/>
      <c r="AV156" s="18"/>
      <c r="AW156" s="18"/>
    </row>
    <row r="157" spans="24:49" x14ac:dyDescent="0.45">
      <c r="X157" s="2"/>
      <c r="Y157" s="2"/>
      <c r="AC157" s="13"/>
      <c r="AD157" s="13"/>
      <c r="AE157" s="13"/>
      <c r="AF157" s="17"/>
      <c r="AH157" s="2"/>
      <c r="AL157" s="17"/>
      <c r="AM157" s="17"/>
      <c r="AN157" s="17"/>
      <c r="AO157" s="17"/>
      <c r="AP157" s="17"/>
      <c r="AQ157" s="17"/>
      <c r="AT157" s="19"/>
      <c r="AU157" s="18"/>
      <c r="AV157" s="18"/>
      <c r="AW157" s="18"/>
    </row>
    <row r="158" spans="24:49" x14ac:dyDescent="0.45">
      <c r="X158" s="2"/>
      <c r="Y158" s="2"/>
      <c r="AC158" s="13"/>
      <c r="AD158" s="13"/>
      <c r="AE158" s="13"/>
      <c r="AF158" s="17"/>
      <c r="AH158" s="2"/>
      <c r="AL158" s="17"/>
      <c r="AM158" s="17"/>
      <c r="AN158" s="17"/>
      <c r="AO158" s="17"/>
      <c r="AP158" s="17"/>
      <c r="AQ158" s="17"/>
      <c r="AT158" s="19"/>
      <c r="AU158" s="18"/>
      <c r="AV158" s="18"/>
      <c r="AW158" s="18"/>
    </row>
    <row r="159" spans="24:49" x14ac:dyDescent="0.45">
      <c r="X159" s="2"/>
      <c r="Y159" s="2"/>
      <c r="AC159" s="13"/>
      <c r="AD159" s="13"/>
      <c r="AE159" s="13"/>
      <c r="AF159" s="17"/>
      <c r="AH159" s="2"/>
      <c r="AL159" s="17"/>
      <c r="AM159" s="17"/>
      <c r="AN159" s="17"/>
      <c r="AO159" s="17"/>
      <c r="AP159" s="17"/>
      <c r="AQ159" s="17"/>
      <c r="AT159" s="19"/>
      <c r="AU159" s="18"/>
      <c r="AV159" s="18"/>
      <c r="AW159" s="18"/>
    </row>
    <row r="160" spans="24:49" x14ac:dyDescent="0.45">
      <c r="X160" s="2"/>
      <c r="Y160" s="2"/>
      <c r="AC160" s="13"/>
      <c r="AD160" s="13"/>
      <c r="AE160" s="13"/>
      <c r="AF160" s="17"/>
      <c r="AH160" s="2"/>
      <c r="AL160" s="17"/>
      <c r="AM160" s="17"/>
      <c r="AN160" s="17"/>
      <c r="AO160" s="17"/>
      <c r="AP160" s="17"/>
      <c r="AQ160" s="17"/>
      <c r="AT160" s="19"/>
      <c r="AU160" s="18"/>
      <c r="AV160" s="18"/>
      <c r="AW160" s="18"/>
    </row>
    <row r="161" spans="24:49" x14ac:dyDescent="0.45">
      <c r="X161" s="2"/>
      <c r="Y161" s="2"/>
      <c r="AC161" s="13"/>
      <c r="AD161" s="13"/>
      <c r="AE161" s="13"/>
      <c r="AF161" s="17"/>
      <c r="AH161" s="2"/>
      <c r="AL161" s="17"/>
      <c r="AM161" s="17"/>
      <c r="AN161" s="17"/>
      <c r="AO161" s="17"/>
      <c r="AP161" s="17"/>
      <c r="AQ161" s="17"/>
      <c r="AT161" s="19"/>
      <c r="AU161" s="18"/>
      <c r="AV161" s="18"/>
      <c r="AW161" s="18"/>
    </row>
    <row r="162" spans="24:49" x14ac:dyDescent="0.45">
      <c r="X162" s="2"/>
      <c r="Y162" s="2"/>
      <c r="AC162" s="13"/>
      <c r="AD162" s="13"/>
      <c r="AE162" s="13"/>
      <c r="AF162" s="17"/>
      <c r="AH162" s="2"/>
      <c r="AL162" s="17"/>
      <c r="AM162" s="17"/>
      <c r="AN162" s="17"/>
      <c r="AO162" s="17"/>
      <c r="AP162" s="17"/>
      <c r="AQ162" s="17"/>
      <c r="AT162" s="19"/>
      <c r="AU162" s="18"/>
      <c r="AV162" s="18"/>
      <c r="AW162" s="18"/>
    </row>
    <row r="163" spans="24:49" x14ac:dyDescent="0.45">
      <c r="X163" s="2"/>
      <c r="Y163" s="2"/>
      <c r="AC163" s="13"/>
      <c r="AD163" s="13"/>
      <c r="AE163" s="13"/>
      <c r="AF163" s="17"/>
      <c r="AH163" s="2"/>
      <c r="AL163" s="17"/>
      <c r="AM163" s="17"/>
      <c r="AN163" s="17"/>
      <c r="AO163" s="17"/>
      <c r="AP163" s="17"/>
      <c r="AQ163" s="17"/>
      <c r="AT163" s="19"/>
      <c r="AU163" s="18"/>
      <c r="AV163" s="18"/>
      <c r="AW163" s="18"/>
    </row>
    <row r="164" spans="24:49" x14ac:dyDescent="0.45">
      <c r="X164" s="2"/>
      <c r="Y164" s="2"/>
      <c r="AC164" s="13"/>
      <c r="AD164" s="13"/>
      <c r="AE164" s="13"/>
      <c r="AF164" s="17"/>
      <c r="AH164" s="2"/>
      <c r="AL164" s="17"/>
      <c r="AM164" s="17"/>
      <c r="AN164" s="17"/>
      <c r="AO164" s="17"/>
      <c r="AP164" s="17"/>
      <c r="AQ164" s="17"/>
      <c r="AT164" s="19"/>
      <c r="AU164" s="18"/>
      <c r="AV164" s="18"/>
      <c r="AW164" s="18"/>
    </row>
    <row r="165" spans="24:49" x14ac:dyDescent="0.45">
      <c r="X165" s="2"/>
      <c r="Y165" s="2"/>
      <c r="AC165" s="13"/>
      <c r="AD165" s="13"/>
      <c r="AE165" s="13"/>
      <c r="AF165" s="17"/>
      <c r="AH165" s="2"/>
      <c r="AL165" s="17"/>
      <c r="AM165" s="17"/>
      <c r="AN165" s="17"/>
      <c r="AO165" s="17"/>
      <c r="AP165" s="17"/>
      <c r="AQ165" s="17"/>
      <c r="AT165" s="19"/>
      <c r="AU165" s="18"/>
      <c r="AV165" s="18"/>
      <c r="AW165" s="18"/>
    </row>
    <row r="166" spans="24:49" x14ac:dyDescent="0.45">
      <c r="X166" s="2"/>
      <c r="Y166" s="2"/>
      <c r="AC166" s="13"/>
      <c r="AD166" s="13"/>
      <c r="AE166" s="13"/>
      <c r="AF166" s="17"/>
      <c r="AH166" s="2"/>
      <c r="AL166" s="17"/>
      <c r="AM166" s="17"/>
      <c r="AN166" s="17"/>
      <c r="AO166" s="17"/>
      <c r="AP166" s="17"/>
      <c r="AQ166" s="17"/>
      <c r="AT166" s="19"/>
      <c r="AU166" s="18"/>
      <c r="AV166" s="18"/>
      <c r="AW166" s="18"/>
    </row>
    <row r="167" spans="24:49" x14ac:dyDescent="0.45">
      <c r="X167" s="2"/>
      <c r="Y167" s="2"/>
      <c r="AC167" s="13"/>
      <c r="AD167" s="13"/>
      <c r="AE167" s="13"/>
      <c r="AF167" s="17"/>
      <c r="AH167" s="2"/>
      <c r="AL167" s="17"/>
      <c r="AM167" s="17"/>
      <c r="AN167" s="17"/>
      <c r="AO167" s="17"/>
      <c r="AP167" s="17"/>
      <c r="AQ167" s="17"/>
      <c r="AT167" s="19"/>
      <c r="AU167" s="18"/>
      <c r="AV167" s="18"/>
      <c r="AW167" s="18"/>
    </row>
    <row r="168" spans="24:49" x14ac:dyDescent="0.45">
      <c r="X168" s="2"/>
      <c r="Y168" s="2"/>
      <c r="AC168" s="13"/>
      <c r="AD168" s="13"/>
      <c r="AE168" s="13"/>
      <c r="AF168" s="17"/>
      <c r="AH168" s="2"/>
      <c r="AL168" s="17"/>
      <c r="AM168" s="17"/>
      <c r="AN168" s="17"/>
      <c r="AO168" s="17"/>
      <c r="AP168" s="17"/>
      <c r="AQ168" s="17"/>
      <c r="AT168" s="19"/>
      <c r="AU168" s="18"/>
      <c r="AV168" s="18"/>
      <c r="AW168" s="18"/>
    </row>
    <row r="169" spans="24:49" x14ac:dyDescent="0.45">
      <c r="X169" s="2"/>
      <c r="Y169" s="2"/>
      <c r="AC169" s="13"/>
      <c r="AD169" s="13"/>
      <c r="AE169" s="13"/>
      <c r="AF169" s="17"/>
      <c r="AH169" s="2"/>
      <c r="AL169" s="17"/>
      <c r="AM169" s="17"/>
      <c r="AN169" s="17"/>
      <c r="AO169" s="17"/>
      <c r="AP169" s="17"/>
      <c r="AQ169" s="17"/>
      <c r="AT169" s="19"/>
      <c r="AU169" s="18"/>
      <c r="AV169" s="18"/>
      <c r="AW169" s="18"/>
    </row>
    <row r="170" spans="24:49" x14ac:dyDescent="0.45">
      <c r="X170" s="2"/>
      <c r="Y170" s="2"/>
      <c r="AC170" s="13"/>
      <c r="AD170" s="13"/>
      <c r="AE170" s="13"/>
      <c r="AF170" s="17"/>
      <c r="AH170" s="2"/>
      <c r="AL170" s="17"/>
      <c r="AM170" s="17"/>
      <c r="AN170" s="17"/>
      <c r="AO170" s="17"/>
      <c r="AP170" s="17"/>
      <c r="AQ170" s="17"/>
      <c r="AT170" s="19"/>
      <c r="AU170" s="18"/>
      <c r="AV170" s="18"/>
      <c r="AW170" s="18"/>
    </row>
    <row r="171" spans="24:49" x14ac:dyDescent="0.45">
      <c r="X171" s="2"/>
      <c r="Y171" s="2"/>
      <c r="AC171" s="13"/>
      <c r="AD171" s="13"/>
      <c r="AE171" s="13"/>
      <c r="AF171" s="17"/>
      <c r="AH171" s="2"/>
      <c r="AL171" s="17"/>
      <c r="AM171" s="17"/>
      <c r="AN171" s="17"/>
      <c r="AO171" s="17"/>
      <c r="AP171" s="17"/>
      <c r="AQ171" s="17"/>
      <c r="AT171" s="19"/>
      <c r="AU171" s="18"/>
      <c r="AV171" s="18"/>
      <c r="AW171" s="18"/>
    </row>
    <row r="172" spans="24:49" x14ac:dyDescent="0.45">
      <c r="X172" s="2"/>
      <c r="Y172" s="2"/>
      <c r="AC172" s="13"/>
      <c r="AD172" s="13"/>
      <c r="AE172" s="13"/>
      <c r="AF172" s="17"/>
      <c r="AH172" s="2"/>
      <c r="AL172" s="17"/>
      <c r="AM172" s="17"/>
      <c r="AN172" s="17"/>
      <c r="AO172" s="17"/>
      <c r="AP172" s="17"/>
      <c r="AQ172" s="17"/>
      <c r="AT172" s="19"/>
      <c r="AU172" s="18"/>
      <c r="AV172" s="18"/>
      <c r="AW172" s="18"/>
    </row>
    <row r="173" spans="24:49" x14ac:dyDescent="0.45">
      <c r="X173" s="2"/>
      <c r="Y173" s="2"/>
      <c r="AC173" s="13"/>
      <c r="AD173" s="13"/>
      <c r="AE173" s="13"/>
      <c r="AF173" s="17"/>
      <c r="AH173" s="2"/>
      <c r="AL173" s="17"/>
      <c r="AM173" s="17"/>
      <c r="AN173" s="17"/>
      <c r="AO173" s="17"/>
      <c r="AP173" s="17"/>
      <c r="AQ173" s="17"/>
      <c r="AT173" s="19"/>
      <c r="AU173" s="18"/>
      <c r="AV173" s="18"/>
      <c r="AW173" s="18"/>
    </row>
    <row r="174" spans="24:49" x14ac:dyDescent="0.45">
      <c r="X174" s="2"/>
      <c r="Y174" s="2"/>
      <c r="AC174" s="13"/>
      <c r="AD174" s="13"/>
      <c r="AE174" s="13"/>
      <c r="AF174" s="17"/>
      <c r="AH174" s="2"/>
      <c r="AL174" s="17"/>
      <c r="AM174" s="17"/>
      <c r="AN174" s="17"/>
      <c r="AO174" s="17"/>
      <c r="AP174" s="17"/>
      <c r="AQ174" s="17"/>
      <c r="AT174" s="19"/>
      <c r="AU174" s="18"/>
      <c r="AV174" s="18"/>
      <c r="AW174" s="18"/>
    </row>
    <row r="175" spans="24:49" x14ac:dyDescent="0.45">
      <c r="X175" s="2"/>
      <c r="Y175" s="2"/>
      <c r="AC175" s="13"/>
      <c r="AD175" s="13"/>
      <c r="AE175" s="13"/>
      <c r="AF175" s="17"/>
      <c r="AH175" s="2"/>
      <c r="AL175" s="17"/>
      <c r="AM175" s="17"/>
      <c r="AN175" s="17"/>
      <c r="AO175" s="17"/>
      <c r="AP175" s="17"/>
      <c r="AQ175" s="17"/>
      <c r="AT175" s="19"/>
      <c r="AU175" s="18"/>
      <c r="AV175" s="18"/>
      <c r="AW175" s="18"/>
    </row>
    <row r="176" spans="24:49" x14ac:dyDescent="0.45">
      <c r="X176" s="2"/>
      <c r="Y176" s="2"/>
      <c r="AC176" s="13"/>
      <c r="AD176" s="13"/>
      <c r="AE176" s="13"/>
      <c r="AF176" s="17"/>
      <c r="AH176" s="2"/>
      <c r="AL176" s="17"/>
      <c r="AM176" s="17"/>
      <c r="AN176" s="17"/>
      <c r="AO176" s="17"/>
      <c r="AP176" s="17"/>
      <c r="AQ176" s="17"/>
      <c r="AT176" s="19"/>
      <c r="AU176" s="18"/>
      <c r="AV176" s="18"/>
      <c r="AW176" s="18"/>
    </row>
    <row r="177" spans="24:49" x14ac:dyDescent="0.45">
      <c r="X177" s="2"/>
      <c r="Y177" s="2"/>
      <c r="AC177" s="13"/>
      <c r="AD177" s="13"/>
      <c r="AE177" s="13"/>
      <c r="AF177" s="17"/>
      <c r="AH177" s="2"/>
      <c r="AL177" s="17"/>
      <c r="AM177" s="17"/>
      <c r="AN177" s="17"/>
      <c r="AO177" s="17"/>
      <c r="AP177" s="17"/>
      <c r="AQ177" s="17"/>
      <c r="AT177" s="19"/>
      <c r="AU177" s="18"/>
      <c r="AV177" s="18"/>
      <c r="AW177" s="18"/>
    </row>
    <row r="178" spans="24:49" x14ac:dyDescent="0.45">
      <c r="X178" s="2"/>
      <c r="Y178" s="2"/>
      <c r="AC178" s="13"/>
      <c r="AD178" s="13"/>
      <c r="AE178" s="13"/>
      <c r="AF178" s="17"/>
      <c r="AH178" s="2"/>
      <c r="AL178" s="17"/>
      <c r="AM178" s="17"/>
      <c r="AN178" s="17"/>
      <c r="AO178" s="17"/>
      <c r="AP178" s="17"/>
      <c r="AQ178" s="17"/>
      <c r="AT178" s="19"/>
      <c r="AU178" s="18"/>
      <c r="AV178" s="18"/>
      <c r="AW178" s="18"/>
    </row>
    <row r="179" spans="24:49" x14ac:dyDescent="0.45">
      <c r="X179" s="2"/>
      <c r="Y179" s="2"/>
      <c r="AC179" s="13"/>
      <c r="AD179" s="13"/>
      <c r="AE179" s="13"/>
      <c r="AF179" s="17"/>
      <c r="AH179" s="2"/>
      <c r="AL179" s="17"/>
      <c r="AM179" s="17"/>
      <c r="AN179" s="17"/>
      <c r="AO179" s="17"/>
      <c r="AP179" s="17"/>
      <c r="AQ179" s="17"/>
      <c r="AT179" s="19"/>
      <c r="AU179" s="18"/>
      <c r="AV179" s="18"/>
      <c r="AW179" s="18"/>
    </row>
    <row r="180" spans="24:49" x14ac:dyDescent="0.45">
      <c r="X180" s="2"/>
      <c r="Y180" s="2"/>
      <c r="AC180" s="13"/>
      <c r="AD180" s="13"/>
      <c r="AE180" s="13"/>
      <c r="AF180" s="17"/>
      <c r="AH180" s="2"/>
      <c r="AL180" s="17"/>
      <c r="AM180" s="17"/>
      <c r="AN180" s="17"/>
      <c r="AO180" s="17"/>
      <c r="AP180" s="17"/>
      <c r="AQ180" s="17"/>
      <c r="AT180" s="19"/>
      <c r="AU180" s="18"/>
      <c r="AV180" s="18"/>
      <c r="AW180" s="18"/>
    </row>
    <row r="181" spans="24:49" x14ac:dyDescent="0.45">
      <c r="X181" s="2"/>
      <c r="Y181" s="2"/>
      <c r="AC181" s="13"/>
      <c r="AD181" s="13"/>
      <c r="AE181" s="13"/>
      <c r="AF181" s="17"/>
      <c r="AH181" s="2"/>
      <c r="AL181" s="17"/>
      <c r="AM181" s="17"/>
      <c r="AN181" s="17"/>
      <c r="AO181" s="17"/>
      <c r="AP181" s="17"/>
      <c r="AQ181" s="17"/>
      <c r="AT181" s="19"/>
      <c r="AU181" s="18"/>
      <c r="AV181" s="18"/>
      <c r="AW181" s="18"/>
    </row>
    <row r="182" spans="24:49" x14ac:dyDescent="0.45">
      <c r="X182" s="2"/>
      <c r="Y182" s="2"/>
      <c r="AC182" s="13"/>
      <c r="AD182" s="13"/>
      <c r="AE182" s="13"/>
      <c r="AF182" s="17"/>
      <c r="AH182" s="2"/>
      <c r="AL182" s="17"/>
      <c r="AM182" s="17"/>
      <c r="AN182" s="17"/>
      <c r="AO182" s="17"/>
      <c r="AP182" s="17"/>
      <c r="AQ182" s="17"/>
      <c r="AT182" s="19"/>
      <c r="AU182" s="18"/>
      <c r="AV182" s="18"/>
      <c r="AW182" s="18"/>
    </row>
    <row r="183" spans="24:49" x14ac:dyDescent="0.45">
      <c r="X183" s="2"/>
      <c r="Y183" s="2"/>
      <c r="AC183" s="13"/>
      <c r="AD183" s="13"/>
      <c r="AE183" s="13"/>
      <c r="AF183" s="17"/>
      <c r="AH183" s="2"/>
      <c r="AL183" s="17"/>
      <c r="AM183" s="17"/>
      <c r="AN183" s="17"/>
      <c r="AO183" s="17"/>
      <c r="AP183" s="17"/>
      <c r="AQ183" s="17"/>
      <c r="AT183" s="19"/>
      <c r="AU183" s="18"/>
      <c r="AV183" s="18"/>
      <c r="AW183" s="18"/>
    </row>
    <row r="184" spans="24:49" x14ac:dyDescent="0.45">
      <c r="X184" s="2"/>
      <c r="Y184" s="2"/>
      <c r="AC184" s="13"/>
      <c r="AD184" s="13"/>
      <c r="AE184" s="13"/>
      <c r="AF184" s="17"/>
      <c r="AH184" s="2"/>
      <c r="AL184" s="17"/>
      <c r="AM184" s="17"/>
      <c r="AN184" s="17"/>
      <c r="AO184" s="17"/>
      <c r="AP184" s="17"/>
      <c r="AQ184" s="17"/>
      <c r="AT184" s="19"/>
      <c r="AU184" s="18"/>
      <c r="AV184" s="18"/>
      <c r="AW184" s="18"/>
    </row>
    <row r="185" spans="24:49" x14ac:dyDescent="0.45">
      <c r="X185" s="2"/>
      <c r="Y185" s="2"/>
      <c r="AC185" s="13"/>
      <c r="AD185" s="13"/>
      <c r="AE185" s="13"/>
      <c r="AF185" s="17"/>
      <c r="AH185" s="2"/>
      <c r="AL185" s="17"/>
      <c r="AM185" s="17"/>
      <c r="AN185" s="17"/>
      <c r="AO185" s="17"/>
      <c r="AP185" s="17"/>
      <c r="AQ185" s="17"/>
      <c r="AT185" s="19"/>
      <c r="AU185" s="18"/>
      <c r="AV185" s="18"/>
      <c r="AW185" s="18"/>
    </row>
    <row r="186" spans="24:49" x14ac:dyDescent="0.45">
      <c r="X186" s="2"/>
      <c r="Y186" s="2"/>
      <c r="AC186" s="13"/>
      <c r="AD186" s="13"/>
      <c r="AE186" s="13"/>
      <c r="AF186" s="17"/>
      <c r="AH186" s="2"/>
      <c r="AL186" s="17"/>
      <c r="AM186" s="17"/>
      <c r="AN186" s="17"/>
      <c r="AO186" s="17"/>
      <c r="AP186" s="17"/>
      <c r="AQ186" s="17"/>
      <c r="AT186" s="19"/>
      <c r="AU186" s="18"/>
      <c r="AV186" s="18"/>
      <c r="AW186" s="18"/>
    </row>
    <row r="187" spans="24:49" x14ac:dyDescent="0.45">
      <c r="X187" s="2"/>
      <c r="Y187" s="2"/>
      <c r="AC187" s="13"/>
      <c r="AD187" s="13"/>
      <c r="AE187" s="13"/>
      <c r="AF187" s="17"/>
      <c r="AH187" s="2"/>
      <c r="AL187" s="17"/>
      <c r="AM187" s="17"/>
      <c r="AN187" s="17"/>
      <c r="AO187" s="17"/>
      <c r="AP187" s="17"/>
      <c r="AQ187" s="17"/>
      <c r="AT187" s="19"/>
      <c r="AU187" s="18"/>
      <c r="AV187" s="18"/>
      <c r="AW187" s="18"/>
    </row>
    <row r="188" spans="24:49" x14ac:dyDescent="0.45">
      <c r="X188" s="2"/>
      <c r="Y188" s="2"/>
      <c r="AC188" s="13"/>
      <c r="AD188" s="13"/>
      <c r="AE188" s="13"/>
      <c r="AF188" s="17"/>
      <c r="AH188" s="2"/>
      <c r="AL188" s="17"/>
      <c r="AM188" s="17"/>
      <c r="AN188" s="17"/>
      <c r="AO188" s="17"/>
      <c r="AP188" s="17"/>
      <c r="AQ188" s="17"/>
      <c r="AT188" s="19"/>
      <c r="AU188" s="18"/>
      <c r="AV188" s="18"/>
      <c r="AW188" s="18"/>
    </row>
    <row r="189" spans="24:49" x14ac:dyDescent="0.45">
      <c r="X189" s="2"/>
      <c r="Y189" s="2"/>
      <c r="AC189" s="13"/>
      <c r="AD189" s="13"/>
      <c r="AE189" s="13"/>
      <c r="AF189" s="17"/>
      <c r="AH189" s="2"/>
      <c r="AL189" s="17"/>
      <c r="AM189" s="17"/>
      <c r="AN189" s="17"/>
      <c r="AO189" s="17"/>
      <c r="AP189" s="17"/>
      <c r="AQ189" s="17"/>
      <c r="AT189" s="19"/>
      <c r="AU189" s="18"/>
      <c r="AV189" s="18"/>
      <c r="AW189" s="18"/>
    </row>
    <row r="190" spans="24:49" x14ac:dyDescent="0.45">
      <c r="X190" s="2"/>
      <c r="Y190" s="2"/>
      <c r="AC190" s="13"/>
      <c r="AD190" s="13"/>
      <c r="AE190" s="13"/>
      <c r="AF190" s="17"/>
      <c r="AH190" s="2"/>
      <c r="AL190" s="17"/>
      <c r="AM190" s="17"/>
      <c r="AN190" s="17"/>
      <c r="AO190" s="17"/>
      <c r="AP190" s="17"/>
      <c r="AQ190" s="17"/>
      <c r="AT190" s="19"/>
      <c r="AU190" s="18"/>
      <c r="AV190" s="18"/>
      <c r="AW190" s="18"/>
    </row>
    <row r="191" spans="24:49" x14ac:dyDescent="0.45">
      <c r="X191" s="2"/>
      <c r="Y191" s="2"/>
      <c r="AC191" s="13"/>
      <c r="AD191" s="13"/>
      <c r="AE191" s="13"/>
      <c r="AF191" s="17"/>
      <c r="AH191" s="2"/>
      <c r="AL191" s="17"/>
      <c r="AM191" s="17"/>
      <c r="AN191" s="17"/>
      <c r="AO191" s="17"/>
      <c r="AP191" s="17"/>
      <c r="AQ191" s="17"/>
      <c r="AT191" s="19"/>
      <c r="AU191" s="18"/>
      <c r="AV191" s="18"/>
      <c r="AW191" s="18"/>
    </row>
    <row r="192" spans="24:49" x14ac:dyDescent="0.45">
      <c r="X192" s="2"/>
      <c r="Y192" s="2"/>
      <c r="AC192" s="13"/>
      <c r="AD192" s="13"/>
      <c r="AE192" s="13"/>
      <c r="AF192" s="17"/>
      <c r="AH192" s="2"/>
      <c r="AL192" s="17"/>
      <c r="AM192" s="17"/>
      <c r="AN192" s="17"/>
      <c r="AO192" s="17"/>
      <c r="AP192" s="17"/>
      <c r="AQ192" s="17"/>
      <c r="AT192" s="19"/>
      <c r="AU192" s="18"/>
      <c r="AV192" s="18"/>
      <c r="AW192" s="18"/>
    </row>
    <row r="193" spans="24:49" x14ac:dyDescent="0.45">
      <c r="X193" s="2"/>
      <c r="Y193" s="2"/>
      <c r="AC193" s="13"/>
      <c r="AD193" s="13"/>
      <c r="AE193" s="13"/>
      <c r="AF193" s="17"/>
      <c r="AH193" s="2"/>
      <c r="AL193" s="17"/>
      <c r="AM193" s="17"/>
      <c r="AN193" s="17"/>
      <c r="AO193" s="17"/>
      <c r="AP193" s="17"/>
      <c r="AQ193" s="17"/>
      <c r="AT193" s="19"/>
      <c r="AU193" s="18"/>
      <c r="AV193" s="18"/>
      <c r="AW193" s="18"/>
    </row>
    <row r="194" spans="24:49" x14ac:dyDescent="0.45">
      <c r="X194" s="2"/>
      <c r="Y194" s="2"/>
      <c r="AC194" s="13"/>
      <c r="AD194" s="13"/>
      <c r="AE194" s="13"/>
      <c r="AF194" s="17"/>
      <c r="AH194" s="2"/>
      <c r="AL194" s="17"/>
      <c r="AM194" s="17"/>
      <c r="AN194" s="17"/>
      <c r="AO194" s="17"/>
      <c r="AP194" s="17"/>
      <c r="AQ194" s="17"/>
      <c r="AT194" s="19"/>
      <c r="AU194" s="18"/>
      <c r="AV194" s="18"/>
      <c r="AW194" s="18"/>
    </row>
    <row r="195" spans="24:49" x14ac:dyDescent="0.45">
      <c r="X195" s="2"/>
      <c r="Y195" s="2"/>
      <c r="AC195" s="13"/>
      <c r="AD195" s="13"/>
      <c r="AE195" s="13"/>
      <c r="AF195" s="17"/>
      <c r="AH195" s="2"/>
      <c r="AL195" s="17"/>
      <c r="AM195" s="17"/>
      <c r="AN195" s="17"/>
      <c r="AO195" s="17"/>
      <c r="AP195" s="17"/>
      <c r="AQ195" s="17"/>
      <c r="AT195" s="19"/>
      <c r="AU195" s="18"/>
      <c r="AV195" s="18"/>
      <c r="AW195" s="18"/>
    </row>
    <row r="196" spans="24:49" x14ac:dyDescent="0.45">
      <c r="X196" s="2"/>
      <c r="Y196" s="2"/>
      <c r="AC196" s="13"/>
      <c r="AD196" s="13"/>
      <c r="AE196" s="13"/>
      <c r="AF196" s="17"/>
      <c r="AH196" s="2"/>
      <c r="AL196" s="17"/>
      <c r="AM196" s="17"/>
      <c r="AN196" s="17"/>
      <c r="AO196" s="17"/>
      <c r="AP196" s="17"/>
      <c r="AQ196" s="17"/>
      <c r="AT196" s="19"/>
      <c r="AU196" s="18"/>
      <c r="AV196" s="18"/>
      <c r="AW196" s="18"/>
    </row>
    <row r="197" spans="24:49" x14ac:dyDescent="0.45">
      <c r="X197" s="2"/>
      <c r="Y197" s="2"/>
      <c r="AC197" s="13"/>
      <c r="AD197" s="13"/>
      <c r="AE197" s="13"/>
      <c r="AF197" s="17"/>
      <c r="AH197" s="2"/>
      <c r="AL197" s="17"/>
      <c r="AM197" s="17"/>
      <c r="AN197" s="17"/>
      <c r="AO197" s="17"/>
      <c r="AP197" s="17"/>
      <c r="AQ197" s="17"/>
      <c r="AT197" s="19"/>
      <c r="AU197" s="18"/>
      <c r="AV197" s="18"/>
      <c r="AW197" s="18"/>
    </row>
    <row r="198" spans="24:49" x14ac:dyDescent="0.45">
      <c r="X198" s="2"/>
      <c r="Y198" s="2"/>
      <c r="AC198" s="13"/>
      <c r="AD198" s="13"/>
      <c r="AE198" s="13"/>
      <c r="AF198" s="17"/>
      <c r="AH198" s="2"/>
      <c r="AL198" s="17"/>
      <c r="AM198" s="17"/>
      <c r="AN198" s="17"/>
      <c r="AO198" s="17"/>
      <c r="AP198" s="17"/>
      <c r="AQ198" s="17"/>
      <c r="AT198" s="19"/>
      <c r="AU198" s="18"/>
      <c r="AV198" s="18"/>
      <c r="AW198" s="18"/>
    </row>
    <row r="199" spans="24:49" x14ac:dyDescent="0.45">
      <c r="X199" s="2"/>
      <c r="Y199" s="2"/>
      <c r="AC199" s="13"/>
      <c r="AD199" s="13"/>
      <c r="AE199" s="13"/>
      <c r="AF199" s="17"/>
      <c r="AH199" s="2"/>
      <c r="AL199" s="17"/>
      <c r="AM199" s="17"/>
      <c r="AN199" s="17"/>
      <c r="AO199" s="17"/>
      <c r="AP199" s="17"/>
      <c r="AQ199" s="17"/>
      <c r="AT199" s="19"/>
      <c r="AU199" s="18"/>
      <c r="AV199" s="18"/>
      <c r="AW199" s="18"/>
    </row>
    <row r="200" spans="24:49" x14ac:dyDescent="0.45">
      <c r="X200" s="2"/>
      <c r="Y200" s="2"/>
      <c r="AC200" s="13"/>
      <c r="AD200" s="13"/>
      <c r="AE200" s="13"/>
      <c r="AF200" s="17"/>
      <c r="AH200" s="2"/>
      <c r="AL200" s="17"/>
      <c r="AM200" s="17"/>
      <c r="AN200" s="17"/>
      <c r="AO200" s="17"/>
      <c r="AP200" s="17"/>
      <c r="AQ200" s="17"/>
      <c r="AT200" s="19"/>
      <c r="AU200" s="18"/>
      <c r="AV200" s="18"/>
      <c r="AW200" s="18"/>
    </row>
    <row r="201" spans="24:49" x14ac:dyDescent="0.45">
      <c r="X201" s="2"/>
      <c r="Y201" s="2"/>
      <c r="AC201" s="13"/>
      <c r="AD201" s="13"/>
      <c r="AE201" s="13"/>
      <c r="AF201" s="17"/>
      <c r="AH201" s="2"/>
      <c r="AL201" s="17"/>
      <c r="AM201" s="17"/>
      <c r="AN201" s="17"/>
      <c r="AO201" s="17"/>
      <c r="AP201" s="17"/>
      <c r="AQ201" s="17"/>
      <c r="AT201" s="19"/>
      <c r="AU201" s="18"/>
      <c r="AV201" s="18"/>
      <c r="AW201" s="18"/>
    </row>
    <row r="202" spans="24:49" x14ac:dyDescent="0.45">
      <c r="X202" s="2"/>
      <c r="Y202" s="2"/>
      <c r="AC202" s="13"/>
      <c r="AD202" s="13"/>
      <c r="AE202" s="13"/>
      <c r="AF202" s="17"/>
      <c r="AH202" s="2"/>
      <c r="AL202" s="17"/>
      <c r="AM202" s="17"/>
      <c r="AN202" s="17"/>
      <c r="AO202" s="17"/>
      <c r="AP202" s="17"/>
      <c r="AQ202" s="17"/>
      <c r="AT202" s="19"/>
      <c r="AU202" s="18"/>
      <c r="AV202" s="18"/>
      <c r="AW202" s="18"/>
    </row>
    <row r="203" spans="24:49" x14ac:dyDescent="0.45">
      <c r="X203" s="2"/>
      <c r="Y203" s="2"/>
      <c r="AC203" s="13"/>
      <c r="AD203" s="13"/>
      <c r="AE203" s="13"/>
      <c r="AF203" s="17"/>
      <c r="AH203" s="2"/>
      <c r="AL203" s="17"/>
      <c r="AM203" s="17"/>
      <c r="AN203" s="17"/>
      <c r="AO203" s="17"/>
      <c r="AP203" s="17"/>
      <c r="AQ203" s="17"/>
      <c r="AT203" s="19"/>
      <c r="AU203" s="18"/>
      <c r="AV203" s="18"/>
      <c r="AW203" s="18"/>
    </row>
    <row r="204" spans="24:49" x14ac:dyDescent="0.45">
      <c r="X204" s="2"/>
      <c r="Y204" s="2"/>
      <c r="AC204" s="13"/>
      <c r="AD204" s="13"/>
      <c r="AE204" s="13"/>
      <c r="AF204" s="17"/>
      <c r="AH204" s="2"/>
      <c r="AL204" s="17"/>
      <c r="AM204" s="17"/>
      <c r="AN204" s="17"/>
      <c r="AO204" s="17"/>
      <c r="AP204" s="17"/>
      <c r="AQ204" s="17"/>
      <c r="AT204" s="19"/>
      <c r="AU204" s="18"/>
      <c r="AV204" s="18"/>
      <c r="AW204" s="18"/>
    </row>
    <row r="205" spans="24:49" x14ac:dyDescent="0.45">
      <c r="X205" s="2"/>
      <c r="Y205" s="2"/>
      <c r="AC205" s="13"/>
      <c r="AD205" s="13"/>
      <c r="AE205" s="13"/>
      <c r="AF205" s="17"/>
      <c r="AH205" s="2"/>
      <c r="AL205" s="17"/>
      <c r="AM205" s="17"/>
      <c r="AN205" s="17"/>
      <c r="AO205" s="17"/>
      <c r="AP205" s="17"/>
      <c r="AQ205" s="17"/>
      <c r="AT205" s="19"/>
      <c r="AU205" s="18"/>
      <c r="AV205" s="18"/>
      <c r="AW205" s="18"/>
    </row>
    <row r="206" spans="24:49" x14ac:dyDescent="0.45">
      <c r="X206" s="2"/>
      <c r="Y206" s="2"/>
      <c r="AC206" s="13"/>
      <c r="AD206" s="13"/>
      <c r="AE206" s="13"/>
      <c r="AF206" s="17"/>
      <c r="AH206" s="2"/>
      <c r="AL206" s="17"/>
      <c r="AM206" s="17"/>
      <c r="AN206" s="17"/>
      <c r="AO206" s="17"/>
      <c r="AP206" s="17"/>
      <c r="AQ206" s="17"/>
      <c r="AT206" s="19"/>
      <c r="AU206" s="18"/>
      <c r="AV206" s="18"/>
      <c r="AW206" s="18"/>
    </row>
    <row r="207" spans="24:49" x14ac:dyDescent="0.45">
      <c r="X207" s="2"/>
      <c r="Y207" s="2"/>
      <c r="AC207" s="13"/>
      <c r="AD207" s="13"/>
      <c r="AE207" s="13"/>
      <c r="AF207" s="17"/>
      <c r="AH207" s="2"/>
      <c r="AL207" s="17"/>
      <c r="AM207" s="17"/>
      <c r="AN207" s="17"/>
      <c r="AO207" s="17"/>
      <c r="AP207" s="17"/>
      <c r="AQ207" s="17"/>
      <c r="AT207" s="19"/>
      <c r="AU207" s="18"/>
      <c r="AV207" s="18"/>
      <c r="AW207" s="18"/>
    </row>
    <row r="208" spans="24:49" x14ac:dyDescent="0.45">
      <c r="X208" s="2"/>
      <c r="Y208" s="2"/>
      <c r="AC208" s="13"/>
      <c r="AD208" s="13"/>
      <c r="AE208" s="13"/>
      <c r="AF208" s="17"/>
      <c r="AH208" s="2"/>
      <c r="AL208" s="17"/>
      <c r="AM208" s="17"/>
      <c r="AN208" s="17"/>
      <c r="AO208" s="17"/>
      <c r="AP208" s="17"/>
      <c r="AQ208" s="17"/>
      <c r="AT208" s="19"/>
      <c r="AU208" s="18"/>
      <c r="AV208" s="18"/>
      <c r="AW208" s="18"/>
    </row>
    <row r="209" spans="24:49" x14ac:dyDescent="0.45">
      <c r="X209" s="2"/>
      <c r="Y209" s="2"/>
      <c r="AC209" s="13"/>
      <c r="AD209" s="13"/>
      <c r="AE209" s="13"/>
      <c r="AF209" s="17"/>
      <c r="AH209" s="2"/>
      <c r="AL209" s="17"/>
      <c r="AM209" s="17"/>
      <c r="AN209" s="17"/>
      <c r="AO209" s="17"/>
      <c r="AP209" s="17"/>
      <c r="AQ209" s="17"/>
      <c r="AT209" s="19"/>
      <c r="AU209" s="18"/>
      <c r="AV209" s="18"/>
      <c r="AW209" s="18"/>
    </row>
    <row r="210" spans="24:49" x14ac:dyDescent="0.45">
      <c r="X210" s="2"/>
      <c r="Y210" s="2"/>
      <c r="AC210" s="13"/>
      <c r="AD210" s="13"/>
      <c r="AE210" s="13"/>
      <c r="AF210" s="17"/>
      <c r="AH210" s="2"/>
      <c r="AL210" s="17"/>
      <c r="AM210" s="17"/>
      <c r="AN210" s="17"/>
      <c r="AO210" s="17"/>
      <c r="AP210" s="17"/>
      <c r="AQ210" s="17"/>
      <c r="AT210" s="19"/>
      <c r="AU210" s="18"/>
      <c r="AV210" s="18"/>
      <c r="AW210" s="18"/>
    </row>
    <row r="211" spans="24:49" x14ac:dyDescent="0.45">
      <c r="X211" s="2"/>
      <c r="Y211" s="2"/>
      <c r="AC211" s="13"/>
      <c r="AD211" s="13"/>
      <c r="AE211" s="13"/>
      <c r="AF211" s="17"/>
      <c r="AH211" s="2"/>
      <c r="AL211" s="17"/>
      <c r="AM211" s="17"/>
      <c r="AN211" s="17"/>
      <c r="AO211" s="17"/>
      <c r="AP211" s="17"/>
      <c r="AQ211" s="17"/>
      <c r="AT211" s="19"/>
      <c r="AU211" s="18"/>
      <c r="AV211" s="18"/>
      <c r="AW211" s="18"/>
    </row>
    <row r="212" spans="24:49" x14ac:dyDescent="0.45">
      <c r="X212" s="2"/>
      <c r="Y212" s="2"/>
      <c r="AC212" s="13"/>
      <c r="AD212" s="13"/>
      <c r="AE212" s="13"/>
      <c r="AF212" s="17"/>
      <c r="AH212" s="2"/>
      <c r="AL212" s="17"/>
      <c r="AM212" s="17"/>
      <c r="AN212" s="17"/>
      <c r="AO212" s="17"/>
      <c r="AP212" s="17"/>
      <c r="AQ212" s="17"/>
      <c r="AT212" s="19"/>
      <c r="AU212" s="18"/>
      <c r="AV212" s="18"/>
      <c r="AW212" s="18"/>
    </row>
    <row r="213" spans="24:49" x14ac:dyDescent="0.45">
      <c r="X213" s="2"/>
      <c r="Y213" s="2"/>
      <c r="AC213" s="13"/>
      <c r="AD213" s="13"/>
      <c r="AE213" s="13"/>
      <c r="AF213" s="17"/>
      <c r="AH213" s="2"/>
      <c r="AL213" s="17"/>
      <c r="AM213" s="17"/>
      <c r="AN213" s="17"/>
      <c r="AO213" s="17"/>
      <c r="AP213" s="17"/>
      <c r="AQ213" s="17"/>
      <c r="AT213" s="19"/>
      <c r="AU213" s="18"/>
      <c r="AV213" s="18"/>
      <c r="AW213" s="18"/>
    </row>
    <row r="214" spans="24:49" x14ac:dyDescent="0.45">
      <c r="X214" s="2"/>
      <c r="Y214" s="2"/>
      <c r="AC214" s="13"/>
      <c r="AD214" s="13"/>
      <c r="AE214" s="13"/>
      <c r="AF214" s="17"/>
      <c r="AH214" s="2"/>
      <c r="AL214" s="17"/>
      <c r="AM214" s="17"/>
      <c r="AN214" s="17"/>
      <c r="AO214" s="17"/>
      <c r="AP214" s="17"/>
      <c r="AQ214" s="17"/>
      <c r="AT214" s="19"/>
      <c r="AU214" s="18"/>
      <c r="AV214" s="18"/>
      <c r="AW214" s="18"/>
    </row>
    <row r="215" spans="24:49" x14ac:dyDescent="0.45">
      <c r="X215" s="2"/>
      <c r="Y215" s="2"/>
      <c r="AC215" s="13"/>
      <c r="AD215" s="13"/>
      <c r="AE215" s="13"/>
      <c r="AF215" s="17"/>
      <c r="AH215" s="2"/>
      <c r="AL215" s="17"/>
      <c r="AM215" s="17"/>
      <c r="AN215" s="17"/>
      <c r="AO215" s="17"/>
      <c r="AP215" s="17"/>
      <c r="AQ215" s="17"/>
      <c r="AT215" s="19"/>
      <c r="AU215" s="18"/>
      <c r="AV215" s="18"/>
      <c r="AW215" s="18"/>
    </row>
    <row r="216" spans="24:49" x14ac:dyDescent="0.45">
      <c r="X216" s="2"/>
      <c r="Y216" s="2"/>
      <c r="AC216" s="13"/>
      <c r="AD216" s="13"/>
      <c r="AE216" s="13"/>
      <c r="AF216" s="17"/>
      <c r="AH216" s="2"/>
      <c r="AL216" s="17"/>
      <c r="AM216" s="17"/>
      <c r="AN216" s="17"/>
      <c r="AO216" s="17"/>
      <c r="AP216" s="17"/>
      <c r="AQ216" s="17"/>
      <c r="AT216" s="19"/>
      <c r="AU216" s="18"/>
      <c r="AV216" s="18"/>
      <c r="AW216" s="18"/>
    </row>
    <row r="217" spans="24:49" x14ac:dyDescent="0.45">
      <c r="X217" s="2"/>
      <c r="Y217" s="2"/>
      <c r="AC217" s="13"/>
      <c r="AD217" s="13"/>
      <c r="AE217" s="13"/>
      <c r="AF217" s="17"/>
      <c r="AH217" s="2"/>
      <c r="AL217" s="17"/>
      <c r="AM217" s="17"/>
      <c r="AN217" s="17"/>
      <c r="AO217" s="17"/>
      <c r="AP217" s="17"/>
      <c r="AQ217" s="17"/>
      <c r="AT217" s="19"/>
      <c r="AU217" s="18"/>
      <c r="AV217" s="18"/>
      <c r="AW217" s="18"/>
    </row>
    <row r="218" spans="24:49" x14ac:dyDescent="0.45">
      <c r="X218" s="2"/>
      <c r="Y218" s="2"/>
      <c r="AC218" s="13"/>
      <c r="AD218" s="13"/>
      <c r="AE218" s="13"/>
      <c r="AF218" s="17"/>
      <c r="AH218" s="2"/>
      <c r="AL218" s="17"/>
      <c r="AM218" s="17"/>
      <c r="AN218" s="17"/>
      <c r="AO218" s="17"/>
      <c r="AP218" s="17"/>
      <c r="AQ218" s="17"/>
      <c r="AT218" s="19"/>
      <c r="AU218" s="18"/>
      <c r="AV218" s="18"/>
      <c r="AW218" s="18"/>
    </row>
    <row r="219" spans="24:49" x14ac:dyDescent="0.45">
      <c r="X219" s="2"/>
      <c r="Y219" s="2"/>
      <c r="AC219" s="13"/>
      <c r="AD219" s="13"/>
      <c r="AE219" s="13"/>
      <c r="AF219" s="17"/>
      <c r="AH219" s="2"/>
      <c r="AL219" s="17"/>
      <c r="AM219" s="17"/>
      <c r="AN219" s="17"/>
      <c r="AO219" s="17"/>
      <c r="AP219" s="17"/>
      <c r="AQ219" s="17"/>
      <c r="AT219" s="19"/>
      <c r="AU219" s="18"/>
      <c r="AV219" s="18"/>
      <c r="AW219" s="18"/>
    </row>
    <row r="220" spans="24:49" x14ac:dyDescent="0.45">
      <c r="X220" s="2"/>
      <c r="Y220" s="2"/>
      <c r="AC220" s="13"/>
      <c r="AD220" s="13"/>
      <c r="AE220" s="13"/>
      <c r="AF220" s="17"/>
      <c r="AH220" s="2"/>
      <c r="AL220" s="17"/>
      <c r="AM220" s="17"/>
      <c r="AN220" s="17"/>
      <c r="AO220" s="17"/>
      <c r="AP220" s="17"/>
      <c r="AQ220" s="17"/>
      <c r="AT220" s="19"/>
      <c r="AU220" s="18"/>
      <c r="AV220" s="18"/>
      <c r="AW220" s="18"/>
    </row>
    <row r="221" spans="24:49" x14ac:dyDescent="0.45">
      <c r="X221" s="2"/>
      <c r="Y221" s="2"/>
      <c r="AC221" s="13"/>
      <c r="AD221" s="13"/>
      <c r="AE221" s="13"/>
      <c r="AF221" s="17"/>
      <c r="AH221" s="2"/>
      <c r="AL221" s="17"/>
      <c r="AM221" s="17"/>
      <c r="AN221" s="17"/>
      <c r="AO221" s="17"/>
      <c r="AP221" s="17"/>
      <c r="AQ221" s="17"/>
      <c r="AT221" s="19"/>
      <c r="AU221" s="18"/>
      <c r="AV221" s="18"/>
      <c r="AW221" s="18"/>
    </row>
    <row r="222" spans="24:49" x14ac:dyDescent="0.45">
      <c r="X222" s="2"/>
      <c r="Y222" s="2"/>
      <c r="AC222" s="13"/>
      <c r="AD222" s="13"/>
      <c r="AE222" s="13"/>
      <c r="AF222" s="17"/>
      <c r="AH222" s="2"/>
      <c r="AL222" s="17"/>
      <c r="AM222" s="17"/>
      <c r="AN222" s="17"/>
      <c r="AO222" s="17"/>
      <c r="AP222" s="17"/>
      <c r="AQ222" s="17"/>
      <c r="AT222" s="19"/>
      <c r="AU222" s="18"/>
      <c r="AV222" s="18"/>
      <c r="AW222" s="18"/>
    </row>
    <row r="223" spans="24:49" x14ac:dyDescent="0.45">
      <c r="X223" s="2"/>
      <c r="Y223" s="2"/>
      <c r="AC223" s="13"/>
      <c r="AD223" s="13"/>
      <c r="AE223" s="13"/>
      <c r="AF223" s="17"/>
      <c r="AH223" s="2"/>
      <c r="AL223" s="17"/>
      <c r="AM223" s="17"/>
      <c r="AN223" s="17"/>
      <c r="AO223" s="17"/>
      <c r="AP223" s="17"/>
      <c r="AQ223" s="17"/>
      <c r="AT223" s="19"/>
      <c r="AU223" s="18"/>
      <c r="AV223" s="18"/>
      <c r="AW223" s="18"/>
    </row>
    <row r="224" spans="24:49" x14ac:dyDescent="0.45">
      <c r="X224" s="2"/>
      <c r="Y224" s="2"/>
      <c r="AC224" s="13"/>
      <c r="AD224" s="13"/>
      <c r="AE224" s="13"/>
      <c r="AF224" s="17"/>
      <c r="AH224" s="2"/>
      <c r="AL224" s="17"/>
      <c r="AM224" s="17"/>
      <c r="AN224" s="17"/>
      <c r="AO224" s="17"/>
      <c r="AP224" s="17"/>
      <c r="AQ224" s="17"/>
      <c r="AT224" s="19"/>
      <c r="AU224" s="18"/>
      <c r="AV224" s="18"/>
      <c r="AW224" s="18"/>
    </row>
    <row r="225" spans="24:49" x14ac:dyDescent="0.45">
      <c r="X225" s="2"/>
      <c r="Y225" s="2"/>
      <c r="AC225" s="13"/>
      <c r="AD225" s="13"/>
      <c r="AE225" s="13"/>
      <c r="AF225" s="17"/>
      <c r="AH225" s="2"/>
      <c r="AL225" s="17"/>
      <c r="AM225" s="17"/>
      <c r="AN225" s="17"/>
      <c r="AO225" s="17"/>
      <c r="AP225" s="17"/>
      <c r="AQ225" s="17"/>
      <c r="AT225" s="19"/>
      <c r="AU225" s="18"/>
      <c r="AV225" s="18"/>
      <c r="AW225" s="18"/>
    </row>
    <row r="226" spans="24:49" x14ac:dyDescent="0.45">
      <c r="X226" s="2"/>
      <c r="Y226" s="2"/>
      <c r="AC226" s="13"/>
      <c r="AD226" s="13"/>
      <c r="AE226" s="13"/>
      <c r="AF226" s="17"/>
      <c r="AH226" s="2"/>
      <c r="AL226" s="17"/>
      <c r="AM226" s="17"/>
      <c r="AN226" s="17"/>
      <c r="AO226" s="17"/>
      <c r="AP226" s="17"/>
      <c r="AQ226" s="17"/>
      <c r="AT226" s="19"/>
      <c r="AU226" s="18"/>
      <c r="AV226" s="18"/>
      <c r="AW226" s="18"/>
    </row>
    <row r="227" spans="24:49" x14ac:dyDescent="0.45">
      <c r="X227" s="2"/>
      <c r="Y227" s="2"/>
      <c r="AC227" s="13"/>
      <c r="AD227" s="13"/>
      <c r="AE227" s="13"/>
      <c r="AF227" s="17"/>
      <c r="AH227" s="2"/>
      <c r="AL227" s="17"/>
      <c r="AM227" s="17"/>
      <c r="AN227" s="17"/>
      <c r="AO227" s="17"/>
      <c r="AP227" s="17"/>
      <c r="AQ227" s="17"/>
      <c r="AT227" s="19"/>
      <c r="AU227" s="18"/>
      <c r="AV227" s="18"/>
      <c r="AW227" s="18"/>
    </row>
    <row r="228" spans="24:49" x14ac:dyDescent="0.45">
      <c r="X228" s="2"/>
      <c r="Y228" s="2"/>
      <c r="AC228" s="13"/>
      <c r="AD228" s="13"/>
      <c r="AE228" s="13"/>
      <c r="AF228" s="17"/>
      <c r="AH228" s="2"/>
      <c r="AL228" s="17"/>
      <c r="AM228" s="17"/>
      <c r="AN228" s="17"/>
      <c r="AO228" s="17"/>
      <c r="AP228" s="17"/>
      <c r="AQ228" s="17"/>
      <c r="AT228" s="19"/>
      <c r="AU228" s="18"/>
      <c r="AV228" s="18"/>
      <c r="AW228" s="18"/>
    </row>
    <row r="229" spans="24:49" x14ac:dyDescent="0.45">
      <c r="X229" s="2"/>
      <c r="Y229" s="2"/>
      <c r="AC229" s="13"/>
      <c r="AD229" s="13"/>
      <c r="AE229" s="13"/>
      <c r="AF229" s="17"/>
      <c r="AH229" s="2"/>
      <c r="AL229" s="17"/>
      <c r="AM229" s="17"/>
      <c r="AN229" s="17"/>
      <c r="AO229" s="17"/>
      <c r="AP229" s="17"/>
      <c r="AQ229" s="17"/>
      <c r="AT229" s="19"/>
      <c r="AU229" s="18"/>
      <c r="AV229" s="18"/>
      <c r="AW229" s="18"/>
    </row>
    <row r="230" spans="24:49" x14ac:dyDescent="0.45">
      <c r="X230" s="2"/>
      <c r="Y230" s="2"/>
      <c r="AC230" s="13"/>
      <c r="AD230" s="13"/>
      <c r="AE230" s="13"/>
      <c r="AF230" s="17"/>
      <c r="AH230" s="2"/>
      <c r="AL230" s="17"/>
      <c r="AM230" s="17"/>
      <c r="AN230" s="17"/>
      <c r="AO230" s="17"/>
      <c r="AP230" s="17"/>
      <c r="AQ230" s="17"/>
      <c r="AT230" s="19"/>
      <c r="AU230" s="18"/>
      <c r="AV230" s="18"/>
      <c r="AW230" s="18"/>
    </row>
    <row r="231" spans="24:49" x14ac:dyDescent="0.45">
      <c r="X231" s="2"/>
      <c r="Y231" s="2"/>
      <c r="AC231" s="13"/>
      <c r="AD231" s="13"/>
      <c r="AE231" s="13"/>
      <c r="AF231" s="17"/>
      <c r="AH231" s="2"/>
      <c r="AL231" s="17"/>
      <c r="AM231" s="17"/>
      <c r="AN231" s="17"/>
      <c r="AO231" s="17"/>
      <c r="AP231" s="17"/>
      <c r="AQ231" s="17"/>
      <c r="AT231" s="19"/>
      <c r="AU231" s="18"/>
      <c r="AV231" s="18"/>
      <c r="AW231" s="18"/>
    </row>
    <row r="232" spans="24:49" x14ac:dyDescent="0.45">
      <c r="X232" s="2"/>
      <c r="Y232" s="2"/>
      <c r="AC232" s="13"/>
      <c r="AD232" s="13"/>
      <c r="AE232" s="13"/>
      <c r="AF232" s="17"/>
      <c r="AH232" s="2"/>
      <c r="AL232" s="17"/>
      <c r="AM232" s="17"/>
      <c r="AN232" s="17"/>
      <c r="AO232" s="17"/>
      <c r="AP232" s="17"/>
      <c r="AQ232" s="17"/>
      <c r="AT232" s="19"/>
      <c r="AU232" s="18"/>
      <c r="AV232" s="18"/>
      <c r="AW232" s="18"/>
    </row>
    <row r="233" spans="24:49" x14ac:dyDescent="0.45">
      <c r="X233" s="2"/>
      <c r="Y233" s="2"/>
      <c r="AC233" s="13"/>
      <c r="AD233" s="13"/>
      <c r="AE233" s="13"/>
      <c r="AF233" s="17"/>
      <c r="AH233" s="2"/>
      <c r="AL233" s="17"/>
      <c r="AM233" s="17"/>
      <c r="AN233" s="17"/>
      <c r="AO233" s="17"/>
      <c r="AP233" s="17"/>
      <c r="AQ233" s="17"/>
      <c r="AT233" s="19"/>
      <c r="AU233" s="18"/>
      <c r="AV233" s="18"/>
      <c r="AW233" s="18"/>
    </row>
    <row r="234" spans="24:49" x14ac:dyDescent="0.45">
      <c r="X234" s="2"/>
      <c r="Y234" s="2"/>
      <c r="AC234" s="13"/>
      <c r="AD234" s="13"/>
      <c r="AE234" s="13"/>
      <c r="AF234" s="17"/>
      <c r="AH234" s="2"/>
      <c r="AL234" s="17"/>
      <c r="AM234" s="17"/>
      <c r="AN234" s="17"/>
      <c r="AO234" s="17"/>
      <c r="AP234" s="17"/>
      <c r="AQ234" s="17"/>
      <c r="AT234" s="19"/>
      <c r="AU234" s="18"/>
      <c r="AV234" s="18"/>
      <c r="AW234" s="18"/>
    </row>
    <row r="235" spans="24:49" x14ac:dyDescent="0.45">
      <c r="X235" s="2"/>
      <c r="Y235" s="2"/>
      <c r="AC235" s="13"/>
      <c r="AD235" s="13"/>
      <c r="AE235" s="13"/>
      <c r="AF235" s="17"/>
      <c r="AH235" s="2"/>
      <c r="AL235" s="17"/>
      <c r="AM235" s="17"/>
      <c r="AN235" s="17"/>
      <c r="AO235" s="17"/>
      <c r="AP235" s="17"/>
      <c r="AQ235" s="17"/>
      <c r="AT235" s="19"/>
      <c r="AU235" s="18"/>
      <c r="AV235" s="18"/>
      <c r="AW235" s="18"/>
    </row>
    <row r="236" spans="24:49" x14ac:dyDescent="0.45">
      <c r="X236" s="2"/>
      <c r="Y236" s="2"/>
      <c r="AC236" s="13"/>
      <c r="AD236" s="13"/>
      <c r="AE236" s="13"/>
      <c r="AF236" s="17"/>
      <c r="AH236" s="2"/>
      <c r="AL236" s="17"/>
      <c r="AM236" s="17"/>
      <c r="AN236" s="17"/>
      <c r="AO236" s="17"/>
      <c r="AP236" s="17"/>
      <c r="AQ236" s="17"/>
      <c r="AT236" s="19"/>
      <c r="AU236" s="18"/>
      <c r="AV236" s="18"/>
      <c r="AW236" s="18"/>
    </row>
    <row r="237" spans="24:49" x14ac:dyDescent="0.45">
      <c r="X237" s="2"/>
      <c r="Y237" s="2"/>
      <c r="AC237" s="13"/>
      <c r="AD237" s="13"/>
      <c r="AE237" s="13"/>
      <c r="AF237" s="17"/>
      <c r="AH237" s="2"/>
      <c r="AL237" s="17"/>
      <c r="AM237" s="17"/>
      <c r="AN237" s="17"/>
      <c r="AO237" s="17"/>
      <c r="AP237" s="17"/>
      <c r="AQ237" s="17"/>
      <c r="AT237" s="19"/>
      <c r="AU237" s="18"/>
      <c r="AV237" s="18"/>
      <c r="AW237" s="18"/>
    </row>
    <row r="238" spans="24:49" x14ac:dyDescent="0.45">
      <c r="X238" s="2"/>
      <c r="Y238" s="2"/>
      <c r="AC238" s="13"/>
      <c r="AD238" s="13"/>
      <c r="AE238" s="13"/>
      <c r="AF238" s="17"/>
      <c r="AH238" s="2"/>
      <c r="AL238" s="17"/>
      <c r="AM238" s="17"/>
      <c r="AN238" s="17"/>
      <c r="AO238" s="17"/>
      <c r="AP238" s="17"/>
      <c r="AQ238" s="17"/>
      <c r="AT238" s="19"/>
      <c r="AU238" s="18"/>
      <c r="AV238" s="18"/>
      <c r="AW238" s="18"/>
    </row>
    <row r="239" spans="24:49" x14ac:dyDescent="0.45">
      <c r="X239" s="2"/>
      <c r="Y239" s="2"/>
      <c r="AC239" s="13"/>
      <c r="AD239" s="13"/>
      <c r="AE239" s="13"/>
      <c r="AF239" s="17"/>
      <c r="AH239" s="2"/>
      <c r="AL239" s="17"/>
      <c r="AM239" s="17"/>
      <c r="AN239" s="17"/>
      <c r="AO239" s="17"/>
      <c r="AP239" s="17"/>
      <c r="AQ239" s="17"/>
      <c r="AT239" s="19"/>
      <c r="AU239" s="18"/>
      <c r="AV239" s="18"/>
      <c r="AW239" s="18"/>
    </row>
    <row r="240" spans="24:49" x14ac:dyDescent="0.45">
      <c r="X240" s="2"/>
      <c r="Y240" s="2"/>
      <c r="AC240" s="13"/>
      <c r="AD240" s="13"/>
      <c r="AE240" s="13"/>
      <c r="AF240" s="17"/>
      <c r="AH240" s="2"/>
      <c r="AL240" s="17"/>
      <c r="AM240" s="17"/>
      <c r="AN240" s="17"/>
      <c r="AO240" s="17"/>
      <c r="AP240" s="17"/>
      <c r="AQ240" s="17"/>
      <c r="AT240" s="19"/>
      <c r="AU240" s="18"/>
      <c r="AV240" s="18"/>
      <c r="AW240" s="18"/>
    </row>
    <row r="241" spans="24:49" x14ac:dyDescent="0.45">
      <c r="X241" s="2"/>
      <c r="Y241" s="2"/>
      <c r="AC241" s="13"/>
      <c r="AD241" s="13"/>
      <c r="AE241" s="13"/>
      <c r="AF241" s="17"/>
      <c r="AH241" s="2"/>
      <c r="AL241" s="17"/>
      <c r="AM241" s="17"/>
      <c r="AN241" s="17"/>
      <c r="AO241" s="17"/>
      <c r="AP241" s="17"/>
      <c r="AQ241" s="17"/>
      <c r="AT241" s="19"/>
      <c r="AU241" s="18"/>
      <c r="AV241" s="18"/>
      <c r="AW241" s="18"/>
    </row>
    <row r="242" spans="24:49" x14ac:dyDescent="0.45">
      <c r="X242" s="2"/>
      <c r="Y242" s="2"/>
      <c r="AC242" s="13"/>
      <c r="AD242" s="13"/>
      <c r="AE242" s="13"/>
      <c r="AF242" s="17"/>
      <c r="AH242" s="2"/>
      <c r="AL242" s="17"/>
      <c r="AM242" s="17"/>
      <c r="AN242" s="17"/>
      <c r="AO242" s="17"/>
      <c r="AP242" s="17"/>
      <c r="AQ242" s="17"/>
      <c r="AT242" s="19"/>
      <c r="AU242" s="18"/>
      <c r="AV242" s="18"/>
      <c r="AW242" s="18"/>
    </row>
    <row r="243" spans="24:49" x14ac:dyDescent="0.45">
      <c r="X243" s="2"/>
      <c r="Y243" s="2"/>
      <c r="AC243" s="13"/>
      <c r="AD243" s="13"/>
      <c r="AE243" s="13"/>
      <c r="AF243" s="17"/>
      <c r="AH243" s="2"/>
      <c r="AL243" s="17"/>
      <c r="AM243" s="17"/>
      <c r="AN243" s="17"/>
      <c r="AO243" s="17"/>
      <c r="AP243" s="17"/>
      <c r="AQ243" s="17"/>
      <c r="AT243" s="19"/>
      <c r="AU243" s="18"/>
      <c r="AV243" s="18"/>
      <c r="AW243" s="18"/>
    </row>
    <row r="244" spans="24:49" x14ac:dyDescent="0.45">
      <c r="X244" s="2"/>
      <c r="Y244" s="2"/>
      <c r="AC244" s="13"/>
      <c r="AD244" s="13"/>
      <c r="AE244" s="13"/>
      <c r="AF244" s="17"/>
      <c r="AH244" s="2"/>
      <c r="AL244" s="17"/>
      <c r="AM244" s="17"/>
      <c r="AN244" s="17"/>
      <c r="AO244" s="17"/>
      <c r="AP244" s="17"/>
      <c r="AQ244" s="17"/>
      <c r="AT244" s="19"/>
      <c r="AU244" s="18"/>
      <c r="AV244" s="18"/>
      <c r="AW244" s="18"/>
    </row>
    <row r="245" spans="24:49" x14ac:dyDescent="0.45">
      <c r="X245" s="2"/>
      <c r="Y245" s="2"/>
      <c r="AC245" s="13"/>
      <c r="AD245" s="13"/>
      <c r="AE245" s="13"/>
      <c r="AF245" s="17"/>
      <c r="AH245" s="2"/>
      <c r="AL245" s="17"/>
      <c r="AM245" s="17"/>
      <c r="AN245" s="17"/>
      <c r="AO245" s="17"/>
      <c r="AP245" s="17"/>
      <c r="AQ245" s="17"/>
      <c r="AT245" s="19"/>
      <c r="AU245" s="18"/>
      <c r="AV245" s="18"/>
      <c r="AW245" s="18"/>
    </row>
    <row r="246" spans="24:49" x14ac:dyDescent="0.45">
      <c r="X246" s="2"/>
      <c r="Y246" s="2"/>
      <c r="AC246" s="13"/>
      <c r="AD246" s="13"/>
      <c r="AE246" s="13"/>
      <c r="AF246" s="17"/>
      <c r="AH246" s="2"/>
      <c r="AL246" s="17"/>
      <c r="AM246" s="17"/>
      <c r="AN246" s="17"/>
      <c r="AO246" s="17"/>
      <c r="AP246" s="17"/>
      <c r="AQ246" s="17"/>
      <c r="AT246" s="19"/>
      <c r="AU246" s="18"/>
      <c r="AV246" s="18"/>
      <c r="AW246" s="18"/>
    </row>
    <row r="247" spans="24:49" x14ac:dyDescent="0.45">
      <c r="X247" s="2"/>
      <c r="Y247" s="2"/>
      <c r="AC247" s="13"/>
      <c r="AD247" s="13"/>
      <c r="AE247" s="13"/>
      <c r="AF247" s="17"/>
      <c r="AH247" s="2"/>
      <c r="AL247" s="17"/>
      <c r="AM247" s="17"/>
      <c r="AN247" s="17"/>
      <c r="AO247" s="17"/>
      <c r="AP247" s="17"/>
      <c r="AQ247" s="17"/>
      <c r="AT247" s="19"/>
      <c r="AU247" s="18"/>
      <c r="AV247" s="18"/>
      <c r="AW247" s="18"/>
    </row>
    <row r="248" spans="24:49" x14ac:dyDescent="0.45">
      <c r="X248" s="2"/>
      <c r="Y248" s="2"/>
      <c r="AC248" s="13"/>
      <c r="AD248" s="13"/>
      <c r="AE248" s="13"/>
      <c r="AF248" s="17"/>
      <c r="AH248" s="2"/>
      <c r="AL248" s="17"/>
      <c r="AM248" s="17"/>
      <c r="AN248" s="17"/>
      <c r="AO248" s="17"/>
      <c r="AP248" s="17"/>
      <c r="AQ248" s="17"/>
      <c r="AT248" s="19"/>
      <c r="AU248" s="18"/>
      <c r="AV248" s="18"/>
      <c r="AW248" s="18"/>
    </row>
    <row r="249" spans="24:49" x14ac:dyDescent="0.45">
      <c r="X249" s="2"/>
      <c r="Y249" s="2"/>
      <c r="AC249" s="13"/>
      <c r="AD249" s="13"/>
      <c r="AE249" s="13"/>
      <c r="AF249" s="17"/>
      <c r="AH249" s="2"/>
      <c r="AL249" s="17"/>
      <c r="AM249" s="17"/>
      <c r="AN249" s="17"/>
      <c r="AO249" s="17"/>
      <c r="AP249" s="17"/>
      <c r="AQ249" s="17"/>
      <c r="AT249" s="19"/>
      <c r="AU249" s="18"/>
      <c r="AV249" s="18"/>
      <c r="AW249" s="18"/>
    </row>
    <row r="250" spans="24:49" x14ac:dyDescent="0.45">
      <c r="X250" s="2"/>
      <c r="Y250" s="2"/>
      <c r="AC250" s="13"/>
      <c r="AD250" s="13"/>
      <c r="AE250" s="13"/>
      <c r="AF250" s="17"/>
      <c r="AH250" s="2"/>
      <c r="AL250" s="17"/>
      <c r="AM250" s="17"/>
      <c r="AN250" s="17"/>
      <c r="AO250" s="17"/>
      <c r="AP250" s="17"/>
      <c r="AQ250" s="17"/>
      <c r="AT250" s="19"/>
      <c r="AU250" s="18"/>
      <c r="AV250" s="18"/>
      <c r="AW250" s="18"/>
    </row>
    <row r="251" spans="24:49" x14ac:dyDescent="0.45">
      <c r="X251" s="2"/>
      <c r="Y251" s="2"/>
      <c r="AC251" s="13"/>
      <c r="AD251" s="13"/>
      <c r="AE251" s="13"/>
      <c r="AF251" s="17"/>
      <c r="AH251" s="2"/>
      <c r="AL251" s="17"/>
      <c r="AM251" s="17"/>
      <c r="AN251" s="17"/>
      <c r="AO251" s="17"/>
      <c r="AP251" s="17"/>
      <c r="AQ251" s="17"/>
      <c r="AT251" s="19"/>
      <c r="AU251" s="18"/>
      <c r="AV251" s="18"/>
      <c r="AW251" s="18"/>
    </row>
    <row r="252" spans="24:49" x14ac:dyDescent="0.45">
      <c r="X252" s="2"/>
      <c r="Y252" s="2"/>
      <c r="AC252" s="13"/>
      <c r="AD252" s="13"/>
      <c r="AE252" s="13"/>
      <c r="AF252" s="17"/>
      <c r="AH252" s="2"/>
      <c r="AL252" s="17"/>
      <c r="AM252" s="17"/>
      <c r="AN252" s="17"/>
      <c r="AO252" s="17"/>
      <c r="AP252" s="17"/>
      <c r="AQ252" s="17"/>
      <c r="AT252" s="19"/>
      <c r="AU252" s="18"/>
      <c r="AV252" s="18"/>
      <c r="AW252" s="18"/>
    </row>
    <row r="253" spans="24:49" x14ac:dyDescent="0.45">
      <c r="X253" s="2"/>
      <c r="Y253" s="2"/>
      <c r="AC253" s="13"/>
      <c r="AD253" s="13"/>
      <c r="AE253" s="13"/>
      <c r="AF253" s="17"/>
      <c r="AH253" s="2"/>
      <c r="AL253" s="17"/>
      <c r="AM253" s="17"/>
      <c r="AN253" s="17"/>
      <c r="AO253" s="17"/>
      <c r="AP253" s="17"/>
      <c r="AQ253" s="17"/>
      <c r="AT253" s="19"/>
      <c r="AU253" s="18"/>
      <c r="AV253" s="18"/>
      <c r="AW253" s="18"/>
    </row>
    <row r="254" spans="24:49" x14ac:dyDescent="0.45">
      <c r="X254" s="2"/>
      <c r="Y254" s="2"/>
      <c r="AC254" s="13"/>
      <c r="AD254" s="13"/>
      <c r="AE254" s="13"/>
      <c r="AF254" s="17"/>
      <c r="AH254" s="2"/>
      <c r="AL254" s="17"/>
      <c r="AM254" s="17"/>
      <c r="AN254" s="17"/>
      <c r="AO254" s="17"/>
      <c r="AP254" s="17"/>
      <c r="AQ254" s="17"/>
      <c r="AT254" s="19"/>
      <c r="AU254" s="18"/>
      <c r="AV254" s="18"/>
      <c r="AW254" s="18"/>
    </row>
    <row r="255" spans="24:49" x14ac:dyDescent="0.45">
      <c r="X255" s="2"/>
      <c r="Y255" s="2"/>
      <c r="AC255" s="13"/>
      <c r="AD255" s="13"/>
      <c r="AE255" s="13"/>
      <c r="AF255" s="17"/>
      <c r="AH255" s="2"/>
      <c r="AL255" s="17"/>
      <c r="AM255" s="17"/>
      <c r="AN255" s="17"/>
      <c r="AO255" s="17"/>
      <c r="AP255" s="17"/>
      <c r="AQ255" s="17"/>
      <c r="AT255" s="19"/>
      <c r="AU255" s="18"/>
      <c r="AV255" s="18"/>
      <c r="AW255" s="18"/>
    </row>
    <row r="256" spans="24:49" x14ac:dyDescent="0.45">
      <c r="X256" s="2"/>
      <c r="Y256" s="2"/>
      <c r="AC256" s="13"/>
      <c r="AD256" s="13"/>
      <c r="AE256" s="13"/>
      <c r="AF256" s="17"/>
      <c r="AH256" s="2"/>
      <c r="AL256" s="17"/>
      <c r="AM256" s="17"/>
      <c r="AN256" s="17"/>
      <c r="AO256" s="17"/>
      <c r="AP256" s="17"/>
      <c r="AQ256" s="17"/>
      <c r="AT256" s="19"/>
      <c r="AU256" s="18"/>
      <c r="AV256" s="18"/>
      <c r="AW256" s="18"/>
    </row>
    <row r="257" spans="24:49" x14ac:dyDescent="0.45">
      <c r="X257" s="2"/>
      <c r="Y257" s="2"/>
      <c r="AC257" s="13"/>
      <c r="AD257" s="13"/>
      <c r="AE257" s="13"/>
      <c r="AF257" s="17"/>
      <c r="AH257" s="2"/>
      <c r="AL257" s="17"/>
      <c r="AM257" s="17"/>
      <c r="AN257" s="17"/>
      <c r="AO257" s="17"/>
      <c r="AP257" s="17"/>
      <c r="AQ257" s="17"/>
      <c r="AT257" s="19"/>
      <c r="AU257" s="18"/>
      <c r="AV257" s="18"/>
      <c r="AW257" s="18"/>
    </row>
    <row r="258" spans="24:49" x14ac:dyDescent="0.45">
      <c r="X258" s="2"/>
      <c r="Y258" s="2"/>
      <c r="AC258" s="13"/>
      <c r="AD258" s="13"/>
      <c r="AE258" s="13"/>
      <c r="AF258" s="17"/>
      <c r="AH258" s="2"/>
      <c r="AL258" s="17"/>
      <c r="AM258" s="17"/>
      <c r="AN258" s="17"/>
      <c r="AO258" s="17"/>
      <c r="AP258" s="17"/>
      <c r="AQ258" s="17"/>
      <c r="AT258" s="19"/>
      <c r="AU258" s="18"/>
      <c r="AV258" s="18"/>
      <c r="AW258" s="18"/>
    </row>
    <row r="259" spans="24:49" x14ac:dyDescent="0.45">
      <c r="X259" s="2"/>
      <c r="Y259" s="2"/>
      <c r="AC259" s="13"/>
      <c r="AD259" s="13"/>
      <c r="AE259" s="13"/>
      <c r="AF259" s="17"/>
      <c r="AH259" s="2"/>
      <c r="AL259" s="17"/>
      <c r="AM259" s="17"/>
      <c r="AN259" s="17"/>
      <c r="AO259" s="17"/>
      <c r="AP259" s="17"/>
      <c r="AQ259" s="17"/>
      <c r="AT259" s="19"/>
      <c r="AU259" s="18"/>
      <c r="AV259" s="18"/>
      <c r="AW259" s="18"/>
    </row>
    <row r="260" spans="24:49" x14ac:dyDescent="0.45">
      <c r="X260" s="2"/>
      <c r="Y260" s="2"/>
      <c r="AC260" s="13"/>
      <c r="AD260" s="13"/>
      <c r="AE260" s="13"/>
      <c r="AF260" s="17"/>
      <c r="AH260" s="2"/>
      <c r="AL260" s="17"/>
      <c r="AM260" s="17"/>
      <c r="AN260" s="17"/>
      <c r="AO260" s="17"/>
      <c r="AP260" s="17"/>
      <c r="AQ260" s="17"/>
      <c r="AT260" s="19"/>
      <c r="AU260" s="18"/>
      <c r="AV260" s="18"/>
      <c r="AW260" s="18"/>
    </row>
    <row r="261" spans="24:49" x14ac:dyDescent="0.45">
      <c r="X261" s="2"/>
      <c r="Y261" s="2"/>
      <c r="AC261" s="13"/>
      <c r="AD261" s="13"/>
      <c r="AE261" s="13"/>
      <c r="AF261" s="17"/>
      <c r="AH261" s="2"/>
      <c r="AL261" s="17"/>
      <c r="AM261" s="17"/>
      <c r="AN261" s="17"/>
      <c r="AO261" s="17"/>
      <c r="AP261" s="17"/>
      <c r="AQ261" s="17"/>
      <c r="AT261" s="19"/>
      <c r="AU261" s="18"/>
      <c r="AV261" s="18"/>
      <c r="AW261" s="18"/>
    </row>
    <row r="262" spans="24:49" x14ac:dyDescent="0.45">
      <c r="X262" s="2"/>
      <c r="Y262" s="2"/>
      <c r="AC262" s="13"/>
      <c r="AD262" s="13"/>
      <c r="AE262" s="13"/>
      <c r="AF262" s="17"/>
      <c r="AH262" s="2"/>
      <c r="AL262" s="17"/>
      <c r="AM262" s="17"/>
      <c r="AN262" s="17"/>
      <c r="AO262" s="17"/>
      <c r="AP262" s="17"/>
      <c r="AQ262" s="17"/>
      <c r="AT262" s="19"/>
      <c r="AU262" s="18"/>
      <c r="AV262" s="18"/>
      <c r="AW262" s="18"/>
    </row>
    <row r="263" spans="24:49" x14ac:dyDescent="0.45">
      <c r="X263" s="2"/>
      <c r="Y263" s="2"/>
      <c r="AC263" s="13"/>
      <c r="AD263" s="13"/>
      <c r="AE263" s="13"/>
      <c r="AF263" s="17"/>
      <c r="AH263" s="2"/>
      <c r="AL263" s="17"/>
      <c r="AM263" s="17"/>
      <c r="AN263" s="17"/>
      <c r="AO263" s="17"/>
      <c r="AP263" s="17"/>
      <c r="AQ263" s="17"/>
      <c r="AT263" s="19"/>
      <c r="AU263" s="18"/>
      <c r="AV263" s="18"/>
      <c r="AW263" s="18"/>
    </row>
    <row r="264" spans="24:49" x14ac:dyDescent="0.45">
      <c r="X264" s="2"/>
      <c r="Y264" s="2"/>
      <c r="AC264" s="13"/>
      <c r="AD264" s="13"/>
      <c r="AE264" s="13"/>
      <c r="AF264" s="17"/>
      <c r="AH264" s="2"/>
      <c r="AL264" s="17"/>
      <c r="AM264" s="17"/>
      <c r="AN264" s="17"/>
      <c r="AO264" s="17"/>
      <c r="AP264" s="17"/>
      <c r="AQ264" s="17"/>
      <c r="AT264" s="19"/>
      <c r="AU264" s="18"/>
      <c r="AV264" s="18"/>
      <c r="AW264" s="18"/>
    </row>
    <row r="265" spans="24:49" x14ac:dyDescent="0.45">
      <c r="X265" s="2"/>
      <c r="Y265" s="2"/>
      <c r="AC265" s="13"/>
      <c r="AD265" s="13"/>
      <c r="AE265" s="13"/>
      <c r="AF265" s="17"/>
      <c r="AH265" s="2"/>
      <c r="AL265" s="17"/>
      <c r="AM265" s="17"/>
      <c r="AN265" s="17"/>
      <c r="AO265" s="17"/>
      <c r="AP265" s="17"/>
      <c r="AQ265" s="17"/>
      <c r="AT265" s="19"/>
      <c r="AU265" s="18"/>
      <c r="AV265" s="18"/>
      <c r="AW265" s="18"/>
    </row>
    <row r="266" spans="24:49" x14ac:dyDescent="0.45">
      <c r="X266" s="2"/>
      <c r="Y266" s="2"/>
      <c r="AC266" s="13"/>
      <c r="AD266" s="13"/>
      <c r="AE266" s="13"/>
      <c r="AF266" s="17"/>
      <c r="AH266" s="2"/>
      <c r="AL266" s="17"/>
      <c r="AM266" s="17"/>
      <c r="AN266" s="17"/>
      <c r="AO266" s="17"/>
      <c r="AP266" s="17"/>
      <c r="AQ266" s="17"/>
      <c r="AT266" s="19"/>
      <c r="AU266" s="18"/>
      <c r="AV266" s="18"/>
      <c r="AW266" s="18"/>
    </row>
    <row r="267" spans="24:49" x14ac:dyDescent="0.45">
      <c r="X267" s="2"/>
      <c r="Y267" s="2"/>
      <c r="AC267" s="13"/>
      <c r="AD267" s="13"/>
      <c r="AE267" s="13"/>
      <c r="AF267" s="17"/>
      <c r="AH267" s="2"/>
      <c r="AL267" s="17"/>
      <c r="AM267" s="17"/>
      <c r="AN267" s="17"/>
      <c r="AO267" s="17"/>
      <c r="AP267" s="17"/>
      <c r="AQ267" s="17"/>
      <c r="AT267" s="19"/>
      <c r="AU267" s="18"/>
      <c r="AV267" s="18"/>
      <c r="AW267" s="18"/>
    </row>
    <row r="268" spans="24:49" x14ac:dyDescent="0.45">
      <c r="X268" s="2"/>
      <c r="Y268" s="2"/>
      <c r="AC268" s="13"/>
      <c r="AD268" s="13"/>
      <c r="AE268" s="13"/>
      <c r="AF268" s="17"/>
      <c r="AH268" s="2"/>
      <c r="AL268" s="17"/>
      <c r="AM268" s="17"/>
      <c r="AN268" s="17"/>
      <c r="AO268" s="17"/>
      <c r="AP268" s="17"/>
      <c r="AQ268" s="17"/>
      <c r="AT268" s="19"/>
      <c r="AU268" s="18"/>
      <c r="AV268" s="18"/>
      <c r="AW268" s="18"/>
    </row>
    <row r="269" spans="24:49" x14ac:dyDescent="0.45">
      <c r="X269" s="2"/>
      <c r="Y269" s="2"/>
      <c r="AC269" s="13"/>
      <c r="AD269" s="13"/>
      <c r="AE269" s="13"/>
      <c r="AF269" s="17"/>
      <c r="AH269" s="2"/>
      <c r="AL269" s="17"/>
      <c r="AM269" s="17"/>
      <c r="AN269" s="17"/>
      <c r="AO269" s="17"/>
      <c r="AP269" s="17"/>
      <c r="AQ269" s="17"/>
      <c r="AT269" s="19"/>
      <c r="AU269" s="18"/>
      <c r="AV269" s="18"/>
      <c r="AW269" s="18"/>
    </row>
    <row r="270" spans="24:49" x14ac:dyDescent="0.45">
      <c r="X270" s="2"/>
      <c r="Y270" s="2"/>
      <c r="AC270" s="13"/>
      <c r="AD270" s="13"/>
      <c r="AE270" s="13"/>
      <c r="AF270" s="17"/>
      <c r="AH270" s="2"/>
      <c r="AL270" s="17"/>
      <c r="AM270" s="17"/>
      <c r="AN270" s="17"/>
      <c r="AO270" s="17"/>
      <c r="AP270" s="17"/>
      <c r="AQ270" s="17"/>
      <c r="AT270" s="19"/>
      <c r="AU270" s="18"/>
      <c r="AV270" s="18"/>
      <c r="AW270" s="18"/>
    </row>
    <row r="271" spans="24:49" x14ac:dyDescent="0.45">
      <c r="X271" s="2"/>
      <c r="Y271" s="2"/>
      <c r="AC271" s="13"/>
      <c r="AD271" s="13"/>
      <c r="AE271" s="13"/>
      <c r="AF271" s="17"/>
      <c r="AH271" s="2"/>
      <c r="AL271" s="17"/>
      <c r="AM271" s="17"/>
      <c r="AN271" s="17"/>
      <c r="AO271" s="17"/>
      <c r="AP271" s="17"/>
      <c r="AQ271" s="17"/>
      <c r="AT271" s="19"/>
      <c r="AU271" s="18"/>
      <c r="AV271" s="18"/>
      <c r="AW271" s="18"/>
    </row>
    <row r="272" spans="24:49" x14ac:dyDescent="0.45">
      <c r="X272" s="2"/>
      <c r="Y272" s="2"/>
      <c r="AC272" s="13"/>
      <c r="AD272" s="13"/>
      <c r="AE272" s="13"/>
      <c r="AF272" s="17"/>
      <c r="AH272" s="2"/>
      <c r="AL272" s="17"/>
      <c r="AM272" s="17"/>
      <c r="AN272" s="17"/>
      <c r="AO272" s="17"/>
      <c r="AP272" s="17"/>
      <c r="AQ272" s="17"/>
      <c r="AT272" s="19"/>
      <c r="AU272" s="18"/>
      <c r="AV272" s="18"/>
      <c r="AW272" s="18"/>
    </row>
    <row r="273" spans="24:43" x14ac:dyDescent="0.45">
      <c r="X273" s="2"/>
      <c r="Y273" s="2"/>
      <c r="AC273" s="13"/>
      <c r="AD273" s="13"/>
      <c r="AE273" s="13"/>
      <c r="AF273" s="17"/>
      <c r="AH273" s="2"/>
      <c r="AL273" s="17"/>
      <c r="AM273" s="17"/>
      <c r="AN273" s="17"/>
      <c r="AO273" s="17"/>
      <c r="AP273" s="17"/>
      <c r="AQ273" s="17"/>
    </row>
    <row r="274" spans="24:43" x14ac:dyDescent="0.45">
      <c r="X274" s="2"/>
      <c r="Y274" s="2"/>
      <c r="AC274" s="13"/>
      <c r="AD274" s="13"/>
      <c r="AE274" s="13"/>
      <c r="AF274" s="17"/>
      <c r="AH274" s="2"/>
      <c r="AL274" s="17"/>
      <c r="AM274" s="17"/>
      <c r="AN274" s="17"/>
      <c r="AO274" s="17"/>
      <c r="AP274" s="17"/>
      <c r="AQ274" s="17"/>
    </row>
    <row r="275" spans="24:43" x14ac:dyDescent="0.45">
      <c r="X275" s="2"/>
      <c r="Y275" s="2"/>
      <c r="AC275" s="13"/>
      <c r="AD275" s="13"/>
      <c r="AE275" s="13"/>
      <c r="AF275" s="17"/>
      <c r="AH275" s="2"/>
      <c r="AL275" s="17"/>
      <c r="AM275" s="17"/>
      <c r="AN275" s="17"/>
      <c r="AO275" s="17"/>
      <c r="AP275" s="17"/>
      <c r="AQ275" s="17"/>
    </row>
    <row r="276" spans="24:43" x14ac:dyDescent="0.45">
      <c r="X276" s="2"/>
      <c r="Y276" s="2"/>
      <c r="AC276" s="13"/>
      <c r="AD276" s="13"/>
      <c r="AE276" s="13"/>
      <c r="AF276" s="17"/>
      <c r="AH276" s="2"/>
      <c r="AL276" s="17"/>
      <c r="AM276" s="17"/>
      <c r="AN276" s="17"/>
      <c r="AO276" s="17"/>
      <c r="AP276" s="17"/>
      <c r="AQ276" s="17"/>
    </row>
    <row r="277" spans="24:43" x14ac:dyDescent="0.45">
      <c r="X277" s="2"/>
      <c r="Y277" s="2"/>
      <c r="AC277" s="13"/>
      <c r="AD277" s="13"/>
      <c r="AE277" s="13"/>
      <c r="AF277" s="17"/>
      <c r="AH277" s="2"/>
      <c r="AL277" s="17"/>
      <c r="AM277" s="17"/>
      <c r="AN277" s="17"/>
      <c r="AO277" s="17"/>
      <c r="AP277" s="17"/>
      <c r="AQ277" s="17"/>
    </row>
    <row r="278" spans="24:43" x14ac:dyDescent="0.45">
      <c r="X278" s="2"/>
      <c r="Y278" s="2"/>
      <c r="AC278" s="13"/>
      <c r="AD278" s="13"/>
      <c r="AE278" s="13"/>
      <c r="AF278" s="17"/>
      <c r="AH278" s="2"/>
      <c r="AL278" s="17"/>
      <c r="AM278" s="17"/>
      <c r="AN278" s="17"/>
      <c r="AO278" s="17"/>
      <c r="AP278" s="17"/>
      <c r="AQ278" s="17"/>
    </row>
    <row r="279" spans="24:43" x14ac:dyDescent="0.45">
      <c r="X279" s="2"/>
      <c r="Y279" s="2"/>
      <c r="AC279" s="13"/>
      <c r="AD279" s="13"/>
      <c r="AE279" s="13"/>
      <c r="AF279" s="17"/>
      <c r="AH279" s="2"/>
      <c r="AL279" s="17"/>
      <c r="AM279" s="17"/>
      <c r="AN279" s="17"/>
      <c r="AO279" s="17"/>
      <c r="AP279" s="17"/>
      <c r="AQ279" s="17"/>
    </row>
    <row r="280" spans="24:43" x14ac:dyDescent="0.45">
      <c r="X280" s="2"/>
      <c r="Y280" s="2"/>
      <c r="AC280" s="13"/>
      <c r="AD280" s="13"/>
      <c r="AE280" s="13"/>
      <c r="AF280" s="17"/>
      <c r="AH280" s="2"/>
      <c r="AL280" s="17"/>
      <c r="AM280" s="17"/>
      <c r="AN280" s="17"/>
      <c r="AO280" s="17"/>
      <c r="AP280" s="17"/>
      <c r="AQ280" s="17"/>
    </row>
    <row r="281" spans="24:43" x14ac:dyDescent="0.45">
      <c r="X281" s="2"/>
      <c r="Y281" s="2"/>
      <c r="AC281" s="13"/>
      <c r="AD281" s="13"/>
      <c r="AE281" s="13"/>
      <c r="AF281" s="17"/>
      <c r="AH281" s="2"/>
      <c r="AL281" s="17"/>
      <c r="AM281" s="17"/>
      <c r="AN281" s="17"/>
      <c r="AO281" s="17"/>
      <c r="AP281" s="17"/>
      <c r="AQ281" s="17"/>
    </row>
    <row r="282" spans="24:43" x14ac:dyDescent="0.45">
      <c r="X282" s="2"/>
      <c r="Y282" s="2"/>
      <c r="AC282" s="13"/>
      <c r="AD282" s="13"/>
      <c r="AE282" s="13"/>
      <c r="AF282" s="17"/>
      <c r="AH282" s="2"/>
      <c r="AL282" s="17"/>
      <c r="AM282" s="17"/>
      <c r="AN282" s="17"/>
      <c r="AO282" s="17"/>
      <c r="AP282" s="17"/>
      <c r="AQ282" s="17"/>
    </row>
    <row r="283" spans="24:43" x14ac:dyDescent="0.45">
      <c r="X283" s="2"/>
      <c r="Y283" s="2"/>
      <c r="AC283" s="13"/>
      <c r="AD283" s="13"/>
      <c r="AE283" s="13"/>
      <c r="AF283" s="17"/>
      <c r="AH283" s="2"/>
      <c r="AL283" s="17"/>
      <c r="AM283" s="17"/>
      <c r="AN283" s="17"/>
      <c r="AO283" s="17"/>
      <c r="AP283" s="17"/>
      <c r="AQ283" s="17"/>
    </row>
    <row r="284" spans="24:43" x14ac:dyDescent="0.45">
      <c r="X284" s="2"/>
      <c r="Y284" s="2"/>
      <c r="AC284" s="13"/>
      <c r="AD284" s="13"/>
      <c r="AE284" s="13"/>
      <c r="AF284" s="17"/>
      <c r="AH284" s="2"/>
      <c r="AL284" s="17"/>
      <c r="AM284" s="17"/>
      <c r="AN284" s="17"/>
      <c r="AO284" s="17"/>
      <c r="AP284" s="17"/>
      <c r="AQ284" s="17"/>
    </row>
    <row r="285" spans="24:43" x14ac:dyDescent="0.45">
      <c r="X285" s="2"/>
      <c r="Y285" s="2"/>
      <c r="AC285" s="13"/>
      <c r="AD285" s="13"/>
      <c r="AE285" s="13"/>
      <c r="AF285" s="17"/>
      <c r="AH285" s="2"/>
      <c r="AL285" s="17"/>
      <c r="AM285" s="17"/>
      <c r="AN285" s="17"/>
      <c r="AO285" s="17"/>
      <c r="AP285" s="17"/>
      <c r="AQ285" s="17"/>
    </row>
    <row r="286" spans="24:43" x14ac:dyDescent="0.45">
      <c r="X286" s="2"/>
      <c r="Y286" s="2"/>
      <c r="AC286" s="13"/>
      <c r="AD286" s="13"/>
      <c r="AE286" s="13"/>
      <c r="AF286" s="17"/>
      <c r="AH286" s="2"/>
      <c r="AL286" s="17"/>
      <c r="AM286" s="17"/>
      <c r="AN286" s="17"/>
      <c r="AO286" s="17"/>
      <c r="AP286" s="17"/>
      <c r="AQ286" s="17"/>
    </row>
    <row r="287" spans="24:43" x14ac:dyDescent="0.45">
      <c r="X287" s="2"/>
      <c r="Y287" s="2"/>
      <c r="AC287" s="13"/>
      <c r="AD287" s="13"/>
      <c r="AE287" s="13"/>
      <c r="AF287" s="17"/>
      <c r="AH287" s="2"/>
      <c r="AL287" s="17"/>
      <c r="AM287" s="17"/>
      <c r="AN287" s="17"/>
      <c r="AO287" s="17"/>
      <c r="AP287" s="17"/>
      <c r="AQ287" s="17"/>
    </row>
    <row r="288" spans="24:43" x14ac:dyDescent="0.45">
      <c r="X288" s="2"/>
      <c r="Y288" s="2"/>
      <c r="AC288" s="13"/>
      <c r="AD288" s="13"/>
      <c r="AE288" s="13"/>
      <c r="AF288" s="17"/>
      <c r="AH288" s="2"/>
      <c r="AL288" s="17"/>
      <c r="AM288" s="17"/>
      <c r="AN288" s="17"/>
      <c r="AO288" s="17"/>
      <c r="AP288" s="17"/>
      <c r="AQ288" s="17"/>
    </row>
    <row r="289" spans="24:43" x14ac:dyDescent="0.45">
      <c r="X289" s="2"/>
      <c r="Y289" s="2"/>
      <c r="AC289" s="13"/>
      <c r="AD289" s="13"/>
      <c r="AE289" s="13"/>
      <c r="AF289" s="17"/>
      <c r="AH289" s="2"/>
      <c r="AL289" s="17"/>
      <c r="AM289" s="17"/>
      <c r="AN289" s="17"/>
      <c r="AO289" s="17"/>
      <c r="AP289" s="17"/>
      <c r="AQ289" s="17"/>
    </row>
    <row r="290" spans="24:43" x14ac:dyDescent="0.45">
      <c r="X290" s="2"/>
      <c r="Y290" s="2"/>
      <c r="AC290" s="13"/>
      <c r="AD290" s="13"/>
      <c r="AE290" s="13"/>
      <c r="AF290" s="17"/>
      <c r="AH290" s="2"/>
      <c r="AL290" s="17"/>
      <c r="AM290" s="17"/>
      <c r="AN290" s="17"/>
      <c r="AO290" s="17"/>
      <c r="AP290" s="17"/>
      <c r="AQ290" s="17"/>
    </row>
    <row r="291" spans="24:43" x14ac:dyDescent="0.45">
      <c r="X291" s="2"/>
      <c r="Y291" s="2"/>
      <c r="AC291" s="13"/>
      <c r="AD291" s="13"/>
      <c r="AE291" s="13"/>
      <c r="AF291" s="17"/>
      <c r="AH291" s="2"/>
      <c r="AL291" s="17"/>
      <c r="AM291" s="17"/>
      <c r="AN291" s="17"/>
      <c r="AO291" s="17"/>
      <c r="AP291" s="17"/>
      <c r="AQ291" s="17"/>
    </row>
    <row r="292" spans="24:43" x14ac:dyDescent="0.45">
      <c r="X292" s="2"/>
      <c r="Y292" s="2"/>
      <c r="AC292" s="13"/>
      <c r="AD292" s="13"/>
      <c r="AE292" s="13"/>
      <c r="AF292" s="17"/>
      <c r="AH292" s="2"/>
      <c r="AL292" s="17"/>
      <c r="AM292" s="17"/>
      <c r="AN292" s="17"/>
      <c r="AO292" s="17"/>
      <c r="AP292" s="17"/>
      <c r="AQ292" s="17"/>
    </row>
    <row r="293" spans="24:43" x14ac:dyDescent="0.45">
      <c r="X293" s="2"/>
      <c r="Y293" s="2"/>
      <c r="AC293" s="13"/>
      <c r="AD293" s="13"/>
      <c r="AE293" s="13"/>
      <c r="AF293" s="17"/>
      <c r="AH293" s="2"/>
      <c r="AL293" s="17"/>
      <c r="AM293" s="17"/>
      <c r="AN293" s="17"/>
      <c r="AO293" s="17"/>
      <c r="AP293" s="17"/>
      <c r="AQ293" s="17"/>
    </row>
    <row r="294" spans="24:43" x14ac:dyDescent="0.45">
      <c r="X294" s="2"/>
      <c r="Y294" s="2"/>
      <c r="AC294" s="13"/>
      <c r="AD294" s="13"/>
      <c r="AE294" s="13"/>
      <c r="AF294" s="17"/>
      <c r="AH294" s="2"/>
      <c r="AL294" s="17"/>
      <c r="AM294" s="17"/>
      <c r="AN294" s="17"/>
      <c r="AO294" s="17"/>
      <c r="AP294" s="17"/>
      <c r="AQ294" s="17"/>
    </row>
    <row r="295" spans="24:43" x14ac:dyDescent="0.45">
      <c r="X295" s="2"/>
      <c r="Y295" s="2"/>
      <c r="AC295" s="13"/>
      <c r="AD295" s="13"/>
      <c r="AE295" s="13"/>
      <c r="AF295" s="17"/>
      <c r="AH295" s="2"/>
      <c r="AL295" s="17"/>
      <c r="AM295" s="17"/>
      <c r="AN295" s="17"/>
      <c r="AO295" s="17"/>
      <c r="AP295" s="17"/>
      <c r="AQ295" s="17"/>
    </row>
    <row r="296" spans="24:43" x14ac:dyDescent="0.45">
      <c r="X296" s="2"/>
      <c r="Y296" s="2"/>
      <c r="AC296" s="13"/>
      <c r="AD296" s="13"/>
      <c r="AE296" s="13"/>
      <c r="AF296" s="17"/>
      <c r="AH296" s="2"/>
      <c r="AL296" s="17"/>
      <c r="AM296" s="17"/>
      <c r="AN296" s="17"/>
      <c r="AO296" s="17"/>
      <c r="AP296" s="17"/>
      <c r="AQ296" s="17"/>
    </row>
    <row r="297" spans="24:43" x14ac:dyDescent="0.45">
      <c r="X297" s="2"/>
      <c r="Y297" s="2"/>
      <c r="AC297" s="13"/>
      <c r="AD297" s="13"/>
      <c r="AE297" s="13"/>
      <c r="AF297" s="17"/>
      <c r="AH297" s="2"/>
      <c r="AL297" s="17"/>
      <c r="AM297" s="17"/>
      <c r="AN297" s="17"/>
      <c r="AO297" s="17"/>
      <c r="AP297" s="17"/>
      <c r="AQ297" s="17"/>
    </row>
    <row r="298" spans="24:43" x14ac:dyDescent="0.45">
      <c r="X298" s="2"/>
      <c r="Y298" s="2"/>
      <c r="AC298" s="13"/>
      <c r="AD298" s="13"/>
      <c r="AE298" s="13"/>
      <c r="AF298" s="17"/>
      <c r="AH298" s="2"/>
      <c r="AL298" s="17"/>
      <c r="AM298" s="17"/>
      <c r="AN298" s="17"/>
      <c r="AO298" s="17"/>
      <c r="AP298" s="17"/>
      <c r="AQ298" s="17"/>
    </row>
    <row r="299" spans="24:43" x14ac:dyDescent="0.45">
      <c r="X299" s="2"/>
      <c r="Y299" s="2"/>
      <c r="AC299" s="13"/>
      <c r="AD299" s="13"/>
      <c r="AE299" s="13"/>
      <c r="AF299" s="17"/>
      <c r="AH299" s="2"/>
      <c r="AL299" s="17"/>
      <c r="AM299" s="17"/>
      <c r="AN299" s="17"/>
      <c r="AO299" s="17"/>
      <c r="AP299" s="17"/>
      <c r="AQ299" s="17"/>
    </row>
    <row r="300" spans="24:43" x14ac:dyDescent="0.45">
      <c r="X300" s="2"/>
      <c r="Y300" s="2"/>
      <c r="AC300" s="13"/>
      <c r="AD300" s="13"/>
      <c r="AE300" s="13"/>
      <c r="AF300" s="17"/>
      <c r="AH300" s="2"/>
      <c r="AL300" s="17"/>
      <c r="AM300" s="17"/>
      <c r="AN300" s="17"/>
      <c r="AO300" s="17"/>
      <c r="AP300" s="17"/>
      <c r="AQ300" s="17"/>
    </row>
    <row r="301" spans="24:43" x14ac:dyDescent="0.45">
      <c r="X301" s="2"/>
      <c r="Y301" s="2"/>
      <c r="AC301" s="13"/>
      <c r="AD301" s="13"/>
      <c r="AE301" s="13"/>
      <c r="AF301" s="17"/>
      <c r="AH301" s="2"/>
      <c r="AL301" s="17"/>
      <c r="AM301" s="17"/>
      <c r="AN301" s="17"/>
      <c r="AO301" s="17"/>
      <c r="AP301" s="17"/>
      <c r="AQ301" s="17"/>
    </row>
    <row r="302" spans="24:43" x14ac:dyDescent="0.45">
      <c r="X302" s="2"/>
      <c r="Y302" s="2"/>
      <c r="AC302" s="13"/>
      <c r="AD302" s="13"/>
      <c r="AE302" s="13"/>
      <c r="AF302" s="17"/>
      <c r="AH302" s="2"/>
      <c r="AL302" s="17"/>
      <c r="AM302" s="17"/>
      <c r="AN302" s="17"/>
      <c r="AO302" s="17"/>
      <c r="AP302" s="17"/>
      <c r="AQ302" s="17"/>
    </row>
    <row r="303" spans="24:43" x14ac:dyDescent="0.45">
      <c r="X303" s="2"/>
      <c r="Y303" s="2"/>
      <c r="AC303" s="13"/>
      <c r="AD303" s="13"/>
      <c r="AE303" s="13"/>
      <c r="AF303" s="17"/>
      <c r="AH303" s="2"/>
      <c r="AL303" s="17"/>
      <c r="AM303" s="17"/>
      <c r="AN303" s="17"/>
      <c r="AO303" s="17"/>
      <c r="AP303" s="17"/>
      <c r="AQ303" s="17"/>
    </row>
    <row r="304" spans="24:43" x14ac:dyDescent="0.45">
      <c r="X304" s="2"/>
      <c r="Y304" s="2"/>
      <c r="AC304" s="13"/>
      <c r="AD304" s="13"/>
      <c r="AE304" s="13"/>
      <c r="AF304" s="17"/>
      <c r="AH304" s="2"/>
      <c r="AL304" s="17"/>
      <c r="AM304" s="17"/>
      <c r="AN304" s="17"/>
      <c r="AO304" s="17"/>
      <c r="AP304" s="17"/>
      <c r="AQ304" s="17"/>
    </row>
    <row r="305" spans="24:43" x14ac:dyDescent="0.45">
      <c r="X305" s="2"/>
      <c r="Y305" s="2"/>
      <c r="AC305" s="13"/>
      <c r="AD305" s="13"/>
      <c r="AE305" s="13"/>
      <c r="AF305" s="17"/>
      <c r="AH305" s="2"/>
      <c r="AL305" s="17"/>
      <c r="AM305" s="17"/>
      <c r="AN305" s="17"/>
      <c r="AO305" s="17"/>
      <c r="AP305" s="17"/>
      <c r="AQ305" s="17"/>
    </row>
    <row r="306" spans="24:43" x14ac:dyDescent="0.45">
      <c r="X306" s="2"/>
      <c r="Y306" s="2"/>
      <c r="AC306" s="13"/>
      <c r="AD306" s="13"/>
      <c r="AE306" s="13"/>
      <c r="AF306" s="17"/>
      <c r="AH306" s="2"/>
      <c r="AL306" s="17"/>
      <c r="AM306" s="17"/>
      <c r="AN306" s="17"/>
      <c r="AO306" s="17"/>
      <c r="AP306" s="17"/>
      <c r="AQ306" s="17"/>
    </row>
    <row r="307" spans="24:43" x14ac:dyDescent="0.45">
      <c r="X307" s="2"/>
      <c r="Y307" s="2"/>
      <c r="AC307" s="13"/>
      <c r="AD307" s="13"/>
      <c r="AE307" s="13"/>
      <c r="AF307" s="17"/>
      <c r="AH307" s="2"/>
      <c r="AL307" s="17"/>
      <c r="AM307" s="17"/>
      <c r="AN307" s="17"/>
      <c r="AO307" s="17"/>
      <c r="AP307" s="17"/>
      <c r="AQ307" s="17"/>
    </row>
    <row r="308" spans="24:43" x14ac:dyDescent="0.45">
      <c r="X308" s="2"/>
      <c r="Y308" s="2"/>
      <c r="AC308" s="13"/>
      <c r="AD308" s="13"/>
      <c r="AE308" s="13"/>
      <c r="AF308" s="17"/>
      <c r="AH308" s="2"/>
      <c r="AL308" s="17"/>
      <c r="AM308" s="17"/>
      <c r="AN308" s="17"/>
      <c r="AO308" s="17"/>
      <c r="AP308" s="17"/>
      <c r="AQ308" s="17"/>
    </row>
    <row r="309" spans="24:43" x14ac:dyDescent="0.45">
      <c r="X309" s="2"/>
      <c r="Y309" s="2"/>
      <c r="AC309" s="13"/>
      <c r="AD309" s="13"/>
      <c r="AE309" s="13"/>
      <c r="AF309" s="17"/>
      <c r="AH309" s="2"/>
      <c r="AL309" s="17"/>
      <c r="AM309" s="17"/>
      <c r="AN309" s="17"/>
      <c r="AO309" s="17"/>
      <c r="AP309" s="17"/>
      <c r="AQ309" s="17"/>
    </row>
    <row r="310" spans="24:43" x14ac:dyDescent="0.45">
      <c r="X310" s="2"/>
      <c r="Y310" s="2"/>
      <c r="AC310" s="13"/>
      <c r="AD310" s="13"/>
      <c r="AE310" s="13"/>
      <c r="AF310" s="17"/>
      <c r="AH310" s="2"/>
      <c r="AL310" s="17"/>
      <c r="AM310" s="17"/>
      <c r="AN310" s="17"/>
      <c r="AO310" s="17"/>
      <c r="AP310" s="17"/>
      <c r="AQ310" s="17"/>
    </row>
    <row r="311" spans="24:43" x14ac:dyDescent="0.45">
      <c r="X311" s="2"/>
      <c r="Y311" s="2"/>
      <c r="AC311" s="13"/>
      <c r="AD311" s="13"/>
      <c r="AE311" s="13"/>
      <c r="AF311" s="17"/>
      <c r="AH311" s="2"/>
      <c r="AL311" s="17"/>
      <c r="AM311" s="17"/>
      <c r="AN311" s="17"/>
      <c r="AO311" s="17"/>
      <c r="AP311" s="17"/>
      <c r="AQ311" s="17"/>
    </row>
    <row r="312" spans="24:43" x14ac:dyDescent="0.45">
      <c r="X312" s="2"/>
      <c r="Y312" s="2"/>
      <c r="AC312" s="13"/>
      <c r="AD312" s="13"/>
      <c r="AE312" s="13"/>
      <c r="AF312" s="17"/>
      <c r="AH312" s="2"/>
      <c r="AL312" s="17"/>
      <c r="AM312" s="17"/>
      <c r="AN312" s="17"/>
      <c r="AO312" s="17"/>
      <c r="AP312" s="17"/>
      <c r="AQ312" s="17"/>
    </row>
    <row r="313" spans="24:43" x14ac:dyDescent="0.45">
      <c r="X313" s="2"/>
      <c r="Y313" s="2"/>
      <c r="AC313" s="13"/>
      <c r="AD313" s="13"/>
      <c r="AE313" s="13"/>
      <c r="AF313" s="17"/>
      <c r="AH313" s="2"/>
      <c r="AL313" s="17"/>
      <c r="AM313" s="17"/>
      <c r="AN313" s="17"/>
      <c r="AO313" s="17"/>
      <c r="AP313" s="17"/>
      <c r="AQ313" s="17"/>
    </row>
    <row r="314" spans="24:43" x14ac:dyDescent="0.45">
      <c r="X314" s="2"/>
      <c r="Y314" s="2"/>
      <c r="AC314" s="13"/>
      <c r="AD314" s="13"/>
      <c r="AE314" s="13"/>
      <c r="AF314" s="17"/>
      <c r="AH314" s="2"/>
      <c r="AL314" s="17"/>
      <c r="AM314" s="17"/>
      <c r="AN314" s="17"/>
      <c r="AO314" s="17"/>
      <c r="AP314" s="17"/>
      <c r="AQ314" s="17"/>
    </row>
    <row r="315" spans="24:43" x14ac:dyDescent="0.45">
      <c r="X315" s="2"/>
      <c r="Y315" s="2"/>
      <c r="AC315" s="13"/>
      <c r="AD315" s="13"/>
      <c r="AE315" s="13"/>
      <c r="AF315" s="17"/>
      <c r="AH315" s="2"/>
      <c r="AL315" s="17"/>
      <c r="AM315" s="17"/>
      <c r="AN315" s="17"/>
      <c r="AO315" s="17"/>
      <c r="AP315" s="17"/>
      <c r="AQ315" s="17"/>
    </row>
    <row r="316" spans="24:43" x14ac:dyDescent="0.45">
      <c r="X316" s="2"/>
      <c r="Y316" s="2"/>
      <c r="AC316" s="13"/>
      <c r="AD316" s="13"/>
      <c r="AE316" s="13"/>
      <c r="AF316" s="17"/>
      <c r="AH316" s="2"/>
      <c r="AL316" s="17"/>
      <c r="AM316" s="17"/>
      <c r="AN316" s="17"/>
      <c r="AO316" s="17"/>
      <c r="AP316" s="17"/>
      <c r="AQ316" s="17"/>
    </row>
    <row r="317" spans="24:43" x14ac:dyDescent="0.45">
      <c r="X317" s="2"/>
      <c r="Y317" s="2"/>
      <c r="AC317" s="13"/>
      <c r="AD317" s="13"/>
      <c r="AE317" s="13"/>
      <c r="AF317" s="17"/>
      <c r="AH317" s="2"/>
      <c r="AL317" s="17"/>
      <c r="AM317" s="17"/>
      <c r="AN317" s="17"/>
      <c r="AO317" s="17"/>
      <c r="AP317" s="17"/>
      <c r="AQ317" s="17"/>
    </row>
    <row r="318" spans="24:43" x14ac:dyDescent="0.45">
      <c r="X318" s="2"/>
      <c r="Y318" s="2"/>
      <c r="AC318" s="13"/>
      <c r="AD318" s="13"/>
      <c r="AE318" s="13"/>
      <c r="AF318" s="17"/>
      <c r="AH318" s="2"/>
      <c r="AL318" s="17"/>
      <c r="AM318" s="17"/>
      <c r="AN318" s="17"/>
      <c r="AO318" s="17"/>
      <c r="AP318" s="17"/>
      <c r="AQ318" s="17"/>
    </row>
    <row r="319" spans="24:43" x14ac:dyDescent="0.45">
      <c r="X319" s="2"/>
      <c r="Y319" s="2"/>
      <c r="AC319" s="13"/>
      <c r="AD319" s="13"/>
      <c r="AE319" s="13"/>
      <c r="AF319" s="17"/>
      <c r="AH319" s="2"/>
      <c r="AL319" s="17"/>
      <c r="AM319" s="17"/>
      <c r="AN319" s="17"/>
      <c r="AO319" s="17"/>
      <c r="AP319" s="17"/>
      <c r="AQ319" s="17"/>
    </row>
    <row r="320" spans="24:43" x14ac:dyDescent="0.45">
      <c r="X320" s="2"/>
      <c r="Y320" s="2"/>
      <c r="AC320" s="13"/>
      <c r="AD320" s="13"/>
      <c r="AE320" s="13"/>
      <c r="AF320" s="17"/>
      <c r="AH320" s="2"/>
      <c r="AL320" s="17"/>
      <c r="AM320" s="17"/>
      <c r="AN320" s="17"/>
      <c r="AO320" s="17"/>
      <c r="AP320" s="17"/>
      <c r="AQ320" s="17"/>
    </row>
    <row r="321" spans="24:43" x14ac:dyDescent="0.45">
      <c r="X321" s="2"/>
      <c r="Y321" s="2"/>
      <c r="AC321" s="13"/>
      <c r="AD321" s="13"/>
      <c r="AE321" s="13"/>
      <c r="AF321" s="17"/>
      <c r="AH321" s="2"/>
      <c r="AL321" s="17"/>
      <c r="AM321" s="17"/>
      <c r="AN321" s="17"/>
      <c r="AO321" s="17"/>
      <c r="AP321" s="17"/>
      <c r="AQ321" s="17"/>
    </row>
    <row r="322" spans="24:43" x14ac:dyDescent="0.45">
      <c r="X322" s="2"/>
      <c r="Y322" s="2"/>
      <c r="AC322" s="13"/>
      <c r="AD322" s="13"/>
      <c r="AE322" s="13"/>
      <c r="AF322" s="17"/>
      <c r="AH322" s="2"/>
      <c r="AL322" s="17"/>
      <c r="AM322" s="17"/>
      <c r="AN322" s="17"/>
      <c r="AO322" s="17"/>
      <c r="AP322" s="17"/>
      <c r="AQ322" s="17"/>
    </row>
    <row r="323" spans="24:43" x14ac:dyDescent="0.45">
      <c r="X323" s="2"/>
      <c r="Y323" s="2"/>
      <c r="AC323" s="13"/>
      <c r="AD323" s="13"/>
      <c r="AE323" s="13"/>
      <c r="AF323" s="17"/>
      <c r="AH323" s="2"/>
      <c r="AL323" s="17"/>
      <c r="AM323" s="17"/>
      <c r="AN323" s="17"/>
      <c r="AO323" s="17"/>
      <c r="AP323" s="17"/>
      <c r="AQ323" s="17"/>
    </row>
    <row r="324" spans="24:43" x14ac:dyDescent="0.45">
      <c r="X324" s="2"/>
      <c r="Y324" s="2"/>
      <c r="AC324" s="13"/>
      <c r="AD324" s="13"/>
      <c r="AE324" s="13"/>
      <c r="AF324" s="17"/>
      <c r="AH324" s="2"/>
      <c r="AL324" s="17"/>
      <c r="AM324" s="17"/>
      <c r="AN324" s="17"/>
      <c r="AO324" s="17"/>
      <c r="AP324" s="17"/>
      <c r="AQ324" s="17"/>
    </row>
    <row r="325" spans="24:43" x14ac:dyDescent="0.45">
      <c r="X325" s="2"/>
      <c r="Y325" s="2"/>
      <c r="AC325" s="13"/>
      <c r="AD325" s="13"/>
      <c r="AE325" s="13"/>
      <c r="AF325" s="17"/>
      <c r="AH325" s="2"/>
      <c r="AL325" s="17"/>
      <c r="AM325" s="17"/>
      <c r="AN325" s="17"/>
      <c r="AO325" s="17"/>
      <c r="AP325" s="17"/>
      <c r="AQ325" s="17"/>
    </row>
    <row r="326" spans="24:43" x14ac:dyDescent="0.45">
      <c r="X326" s="2"/>
      <c r="Y326" s="2"/>
      <c r="AC326" s="13"/>
      <c r="AD326" s="13"/>
      <c r="AE326" s="13"/>
      <c r="AF326" s="17"/>
      <c r="AH326" s="2"/>
      <c r="AL326" s="17"/>
      <c r="AM326" s="17"/>
      <c r="AN326" s="17"/>
      <c r="AO326" s="17"/>
      <c r="AP326" s="17"/>
      <c r="AQ326" s="17"/>
    </row>
    <row r="327" spans="24:43" x14ac:dyDescent="0.45">
      <c r="X327" s="2"/>
      <c r="Y327" s="2"/>
      <c r="AC327" s="13"/>
      <c r="AD327" s="13"/>
      <c r="AE327" s="13"/>
      <c r="AF327" s="17"/>
      <c r="AH327" s="2"/>
      <c r="AL327" s="17"/>
      <c r="AM327" s="17"/>
      <c r="AN327" s="17"/>
      <c r="AO327" s="17"/>
      <c r="AP327" s="17"/>
      <c r="AQ327" s="17"/>
    </row>
    <row r="328" spans="24:43" x14ac:dyDescent="0.45">
      <c r="X328" s="2"/>
      <c r="Y328" s="2"/>
      <c r="AC328" s="13"/>
      <c r="AD328" s="13"/>
      <c r="AE328" s="13"/>
      <c r="AF328" s="17"/>
      <c r="AH328" s="2"/>
      <c r="AL328" s="17"/>
      <c r="AM328" s="17"/>
      <c r="AN328" s="17"/>
      <c r="AO328" s="17"/>
      <c r="AP328" s="17"/>
      <c r="AQ328" s="17"/>
    </row>
    <row r="329" spans="24:43" x14ac:dyDescent="0.45">
      <c r="X329" s="2"/>
      <c r="Y329" s="2"/>
      <c r="AC329" s="13"/>
      <c r="AD329" s="13"/>
      <c r="AE329" s="13"/>
      <c r="AF329" s="17"/>
      <c r="AH329" s="2"/>
      <c r="AL329" s="17"/>
      <c r="AM329" s="17"/>
      <c r="AN329" s="17"/>
      <c r="AO329" s="17"/>
      <c r="AP329" s="17"/>
      <c r="AQ329" s="17"/>
    </row>
    <row r="330" spans="24:43" x14ac:dyDescent="0.45">
      <c r="X330" s="2"/>
      <c r="Y330" s="2"/>
      <c r="AC330" s="13"/>
      <c r="AD330" s="13"/>
      <c r="AE330" s="13"/>
      <c r="AF330" s="17"/>
      <c r="AH330" s="2"/>
      <c r="AL330" s="17"/>
      <c r="AM330" s="17"/>
      <c r="AN330" s="17"/>
      <c r="AO330" s="17"/>
      <c r="AP330" s="17"/>
      <c r="AQ330" s="17"/>
    </row>
    <row r="331" spans="24:43" x14ac:dyDescent="0.45">
      <c r="X331" s="2"/>
      <c r="Y331" s="2"/>
      <c r="AC331" s="13"/>
      <c r="AD331" s="13"/>
      <c r="AE331" s="13"/>
      <c r="AF331" s="17"/>
      <c r="AH331" s="2"/>
      <c r="AL331" s="17"/>
      <c r="AM331" s="17"/>
      <c r="AN331" s="17"/>
      <c r="AO331" s="17"/>
      <c r="AP331" s="17"/>
      <c r="AQ331" s="17"/>
    </row>
    <row r="332" spans="24:43" x14ac:dyDescent="0.45">
      <c r="X332" s="2"/>
      <c r="Y332" s="2"/>
      <c r="AC332" s="13"/>
      <c r="AD332" s="13"/>
      <c r="AE332" s="13"/>
      <c r="AF332" s="17"/>
      <c r="AH332" s="2"/>
      <c r="AL332" s="17"/>
      <c r="AM332" s="17"/>
      <c r="AN332" s="17"/>
      <c r="AO332" s="17"/>
      <c r="AP332" s="17"/>
      <c r="AQ332" s="17"/>
    </row>
    <row r="333" spans="24:43" x14ac:dyDescent="0.45">
      <c r="X333" s="2"/>
      <c r="Y333" s="2"/>
      <c r="AC333" s="13"/>
      <c r="AD333" s="13"/>
      <c r="AE333" s="13"/>
      <c r="AF333" s="17"/>
      <c r="AH333" s="2"/>
      <c r="AL333" s="17"/>
      <c r="AM333" s="17"/>
      <c r="AN333" s="17"/>
      <c r="AO333" s="17"/>
      <c r="AP333" s="17"/>
      <c r="AQ333" s="17"/>
    </row>
    <row r="334" spans="24:43" x14ac:dyDescent="0.45">
      <c r="X334" s="2"/>
      <c r="Y334" s="2"/>
      <c r="AC334" s="13"/>
      <c r="AD334" s="13"/>
      <c r="AE334" s="13"/>
      <c r="AF334" s="17"/>
      <c r="AH334" s="2"/>
      <c r="AL334" s="17"/>
      <c r="AM334" s="17"/>
      <c r="AN334" s="17"/>
      <c r="AO334" s="17"/>
      <c r="AP334" s="17"/>
      <c r="AQ334" s="17"/>
    </row>
    <row r="335" spans="24:43" x14ac:dyDescent="0.45">
      <c r="X335" s="2"/>
      <c r="Y335" s="2"/>
      <c r="AC335" s="13"/>
      <c r="AD335" s="13"/>
      <c r="AE335" s="13"/>
      <c r="AF335" s="17"/>
      <c r="AH335" s="2"/>
      <c r="AL335" s="17"/>
      <c r="AM335" s="17"/>
      <c r="AN335" s="17"/>
      <c r="AO335" s="17"/>
      <c r="AP335" s="17"/>
      <c r="AQ335" s="17"/>
    </row>
    <row r="336" spans="24:43" x14ac:dyDescent="0.45">
      <c r="X336" s="2"/>
      <c r="Y336" s="2"/>
      <c r="AC336" s="13"/>
      <c r="AD336" s="13"/>
      <c r="AE336" s="13"/>
      <c r="AF336" s="17"/>
      <c r="AH336" s="2"/>
      <c r="AL336" s="17"/>
      <c r="AM336" s="17"/>
      <c r="AN336" s="17"/>
      <c r="AO336" s="17"/>
      <c r="AP336" s="17"/>
      <c r="AQ336" s="17"/>
    </row>
    <row r="337" spans="24:43" x14ac:dyDescent="0.45">
      <c r="X337" s="2"/>
      <c r="Y337" s="2"/>
      <c r="AC337" s="13"/>
      <c r="AD337" s="13"/>
      <c r="AE337" s="13"/>
      <c r="AF337" s="17"/>
      <c r="AH337" s="2"/>
      <c r="AL337" s="17"/>
      <c r="AM337" s="17"/>
      <c r="AN337" s="17"/>
      <c r="AO337" s="17"/>
      <c r="AP337" s="17"/>
      <c r="AQ337" s="17"/>
    </row>
    <row r="338" spans="24:43" x14ac:dyDescent="0.45">
      <c r="X338" s="2"/>
      <c r="Y338" s="2"/>
      <c r="AC338" s="13"/>
      <c r="AD338" s="13"/>
      <c r="AE338" s="13"/>
      <c r="AF338" s="17"/>
      <c r="AH338" s="2"/>
      <c r="AL338" s="17"/>
      <c r="AM338" s="17"/>
      <c r="AN338" s="17"/>
      <c r="AO338" s="17"/>
      <c r="AP338" s="17"/>
      <c r="AQ338" s="17"/>
    </row>
    <row r="339" spans="24:43" x14ac:dyDescent="0.45">
      <c r="X339" s="2"/>
      <c r="Y339" s="2"/>
      <c r="AC339" s="13"/>
      <c r="AD339" s="13"/>
      <c r="AE339" s="13"/>
      <c r="AF339" s="17"/>
      <c r="AH339" s="2"/>
      <c r="AL339" s="17"/>
      <c r="AM339" s="17"/>
      <c r="AN339" s="17"/>
      <c r="AO339" s="17"/>
      <c r="AP339" s="17"/>
      <c r="AQ339" s="17"/>
    </row>
    <row r="340" spans="24:43" x14ac:dyDescent="0.45">
      <c r="X340" s="2"/>
      <c r="Y340" s="2"/>
      <c r="AC340" s="13"/>
      <c r="AD340" s="13"/>
      <c r="AE340" s="13"/>
      <c r="AF340" s="17"/>
      <c r="AH340" s="2"/>
      <c r="AL340" s="17"/>
      <c r="AM340" s="17"/>
      <c r="AN340" s="17"/>
      <c r="AO340" s="17"/>
      <c r="AP340" s="17"/>
      <c r="AQ340" s="17"/>
    </row>
    <row r="341" spans="24:43" x14ac:dyDescent="0.45">
      <c r="X341" s="2"/>
      <c r="Y341" s="2"/>
      <c r="AC341" s="13"/>
      <c r="AD341" s="13"/>
      <c r="AE341" s="13"/>
      <c r="AF341" s="17"/>
      <c r="AH341" s="2"/>
      <c r="AL341" s="17"/>
      <c r="AM341" s="17"/>
      <c r="AN341" s="17"/>
      <c r="AO341" s="17"/>
      <c r="AP341" s="17"/>
      <c r="AQ341" s="17"/>
    </row>
    <row r="342" spans="24:43" x14ac:dyDescent="0.45">
      <c r="X342" s="2"/>
      <c r="Y342" s="2"/>
      <c r="AC342" s="13"/>
      <c r="AD342" s="13"/>
      <c r="AE342" s="13"/>
      <c r="AF342" s="17"/>
      <c r="AH342" s="2"/>
      <c r="AL342" s="17"/>
      <c r="AM342" s="17"/>
      <c r="AN342" s="17"/>
      <c r="AO342" s="17"/>
      <c r="AP342" s="17"/>
      <c r="AQ342" s="17"/>
    </row>
    <row r="343" spans="24:43" x14ac:dyDescent="0.45">
      <c r="X343" s="2"/>
      <c r="Y343" s="2"/>
      <c r="AC343" s="13"/>
      <c r="AD343" s="13"/>
      <c r="AE343" s="13"/>
      <c r="AF343" s="17"/>
      <c r="AH343" s="2"/>
      <c r="AL343" s="17"/>
      <c r="AM343" s="17"/>
      <c r="AN343" s="17"/>
      <c r="AO343" s="17"/>
      <c r="AP343" s="17"/>
      <c r="AQ343" s="17"/>
    </row>
    <row r="344" spans="24:43" x14ac:dyDescent="0.45">
      <c r="X344" s="2"/>
      <c r="Y344" s="2"/>
      <c r="AC344" s="13"/>
      <c r="AD344" s="13"/>
      <c r="AE344" s="13"/>
      <c r="AF344" s="17"/>
      <c r="AH344" s="2"/>
      <c r="AL344" s="17"/>
      <c r="AM344" s="17"/>
      <c r="AN344" s="17"/>
      <c r="AO344" s="17"/>
      <c r="AP344" s="17"/>
      <c r="AQ344" s="17"/>
    </row>
    <row r="345" spans="24:43" x14ac:dyDescent="0.45">
      <c r="X345" s="2"/>
      <c r="Y345" s="2"/>
      <c r="AC345" s="13"/>
      <c r="AD345" s="13"/>
      <c r="AE345" s="13"/>
      <c r="AF345" s="17"/>
      <c r="AH345" s="2"/>
      <c r="AL345" s="17"/>
      <c r="AM345" s="17"/>
      <c r="AN345" s="17"/>
      <c r="AO345" s="17"/>
      <c r="AP345" s="17"/>
      <c r="AQ345" s="17"/>
    </row>
    <row r="346" spans="24:43" x14ac:dyDescent="0.45">
      <c r="X346" s="2"/>
      <c r="Y346" s="2"/>
      <c r="AC346" s="13"/>
      <c r="AD346" s="13"/>
      <c r="AE346" s="13"/>
      <c r="AF346" s="17"/>
      <c r="AH346" s="2"/>
      <c r="AL346" s="17"/>
      <c r="AM346" s="17"/>
      <c r="AN346" s="17"/>
      <c r="AO346" s="17"/>
      <c r="AP346" s="17"/>
      <c r="AQ346" s="17"/>
    </row>
    <row r="347" spans="24:43" x14ac:dyDescent="0.45">
      <c r="X347" s="2"/>
      <c r="Y347" s="2"/>
      <c r="AC347" s="13"/>
      <c r="AD347" s="13"/>
      <c r="AE347" s="13"/>
      <c r="AF347" s="17"/>
      <c r="AH347" s="2"/>
      <c r="AL347" s="17"/>
      <c r="AM347" s="17"/>
      <c r="AN347" s="17"/>
      <c r="AO347" s="17"/>
      <c r="AP347" s="17"/>
      <c r="AQ347" s="17"/>
    </row>
    <row r="348" spans="24:43" x14ac:dyDescent="0.45">
      <c r="X348" s="2"/>
      <c r="Y348" s="2"/>
      <c r="AC348" s="13"/>
      <c r="AD348" s="13"/>
      <c r="AE348" s="13"/>
      <c r="AF348" s="17"/>
      <c r="AH348" s="2"/>
      <c r="AL348" s="17"/>
      <c r="AM348" s="17"/>
      <c r="AN348" s="17"/>
      <c r="AO348" s="17"/>
      <c r="AP348" s="17"/>
      <c r="AQ348" s="17"/>
    </row>
    <row r="349" spans="24:43" x14ac:dyDescent="0.45">
      <c r="X349" s="2"/>
      <c r="Y349" s="2"/>
      <c r="AC349" s="13"/>
      <c r="AD349" s="13"/>
      <c r="AE349" s="13"/>
      <c r="AF349" s="17"/>
      <c r="AH349" s="2"/>
      <c r="AL349" s="17"/>
      <c r="AM349" s="17"/>
      <c r="AN349" s="17"/>
      <c r="AO349" s="17"/>
      <c r="AP349" s="17"/>
      <c r="AQ349" s="17"/>
    </row>
    <row r="350" spans="24:43" x14ac:dyDescent="0.45">
      <c r="X350" s="2"/>
      <c r="Y350" s="2"/>
      <c r="AC350" s="13"/>
      <c r="AD350" s="13"/>
      <c r="AE350" s="13"/>
      <c r="AF350" s="17"/>
      <c r="AH350" s="2"/>
      <c r="AL350" s="17"/>
      <c r="AM350" s="17"/>
      <c r="AN350" s="17"/>
      <c r="AO350" s="17"/>
      <c r="AP350" s="17"/>
      <c r="AQ350" s="17"/>
    </row>
    <row r="351" spans="24:43" x14ac:dyDescent="0.45">
      <c r="X351" s="2"/>
      <c r="Y351" s="2"/>
      <c r="AC351" s="13"/>
      <c r="AD351" s="13"/>
      <c r="AE351" s="13"/>
      <c r="AF351" s="17"/>
      <c r="AH351" s="2"/>
      <c r="AL351" s="17"/>
      <c r="AM351" s="17"/>
      <c r="AN351" s="17"/>
      <c r="AO351" s="17"/>
      <c r="AP351" s="17"/>
      <c r="AQ351" s="17"/>
    </row>
    <row r="352" spans="24:43" x14ac:dyDescent="0.45">
      <c r="X352" s="2"/>
      <c r="Y352" s="2"/>
      <c r="AC352" s="13"/>
      <c r="AD352" s="13"/>
      <c r="AE352" s="13"/>
      <c r="AF352" s="17"/>
      <c r="AH352" s="2"/>
      <c r="AL352" s="17"/>
      <c r="AM352" s="17"/>
      <c r="AN352" s="17"/>
      <c r="AO352" s="17"/>
      <c r="AP352" s="17"/>
      <c r="AQ352" s="17"/>
    </row>
    <row r="353" spans="24:43" x14ac:dyDescent="0.45">
      <c r="X353" s="2"/>
      <c r="Y353" s="2"/>
      <c r="AC353" s="13"/>
      <c r="AD353" s="13"/>
      <c r="AE353" s="13"/>
      <c r="AF353" s="17"/>
      <c r="AH353" s="2"/>
      <c r="AL353" s="17"/>
      <c r="AM353" s="17"/>
      <c r="AN353" s="17"/>
      <c r="AO353" s="17"/>
      <c r="AP353" s="17"/>
      <c r="AQ353" s="17"/>
    </row>
    <row r="354" spans="24:43" x14ac:dyDescent="0.45">
      <c r="X354" s="2"/>
      <c r="Y354" s="2"/>
      <c r="AC354" s="13"/>
      <c r="AD354" s="13"/>
      <c r="AE354" s="13"/>
      <c r="AF354" s="17"/>
      <c r="AH354" s="2"/>
      <c r="AL354" s="17"/>
      <c r="AM354" s="17"/>
      <c r="AN354" s="17"/>
      <c r="AO354" s="17"/>
      <c r="AP354" s="17"/>
      <c r="AQ354" s="17"/>
    </row>
    <row r="355" spans="24:43" x14ac:dyDescent="0.45">
      <c r="X355" s="2"/>
      <c r="Y355" s="2"/>
      <c r="AC355" s="13"/>
      <c r="AD355" s="13"/>
      <c r="AE355" s="13"/>
      <c r="AF355" s="17"/>
      <c r="AH355" s="2"/>
      <c r="AL355" s="17"/>
      <c r="AM355" s="17"/>
      <c r="AN355" s="17"/>
      <c r="AO355" s="17"/>
      <c r="AP355" s="17"/>
      <c r="AQ355" s="17"/>
    </row>
    <row r="356" spans="24:43" x14ac:dyDescent="0.45">
      <c r="X356" s="2"/>
      <c r="Y356" s="2"/>
      <c r="AC356" s="13"/>
      <c r="AD356" s="13"/>
      <c r="AE356" s="13"/>
      <c r="AF356" s="17"/>
      <c r="AH356" s="2"/>
      <c r="AL356" s="17"/>
      <c r="AM356" s="17"/>
      <c r="AN356" s="17"/>
      <c r="AO356" s="17"/>
      <c r="AP356" s="17"/>
      <c r="AQ356" s="17"/>
    </row>
    <row r="357" spans="24:43" x14ac:dyDescent="0.45">
      <c r="X357" s="2"/>
      <c r="Y357" s="2"/>
      <c r="AC357" s="13"/>
      <c r="AD357" s="13"/>
      <c r="AE357" s="13"/>
      <c r="AF357" s="17"/>
      <c r="AH357" s="2"/>
      <c r="AL357" s="17"/>
      <c r="AM357" s="17"/>
      <c r="AN357" s="17"/>
      <c r="AO357" s="17"/>
      <c r="AP357" s="17"/>
      <c r="AQ357" s="17"/>
    </row>
    <row r="358" spans="24:43" x14ac:dyDescent="0.45">
      <c r="X358" s="2"/>
      <c r="Y358" s="2"/>
      <c r="AC358" s="13"/>
      <c r="AD358" s="13"/>
      <c r="AE358" s="13"/>
      <c r="AF358" s="17"/>
      <c r="AH358" s="2"/>
      <c r="AL358" s="17"/>
      <c r="AM358" s="17"/>
      <c r="AN358" s="17"/>
      <c r="AO358" s="17"/>
      <c r="AP358" s="17"/>
      <c r="AQ358" s="17"/>
    </row>
    <row r="359" spans="24:43" x14ac:dyDescent="0.45">
      <c r="X359" s="2"/>
      <c r="Y359" s="2"/>
      <c r="AC359" s="13"/>
      <c r="AD359" s="13"/>
      <c r="AE359" s="13"/>
      <c r="AF359" s="17"/>
      <c r="AH359" s="2"/>
      <c r="AL359" s="17"/>
      <c r="AM359" s="17"/>
      <c r="AN359" s="17"/>
      <c r="AO359" s="17"/>
      <c r="AP359" s="17"/>
      <c r="AQ359" s="17"/>
    </row>
    <row r="360" spans="24:43" x14ac:dyDescent="0.45">
      <c r="X360" s="2"/>
      <c r="Y360" s="2"/>
      <c r="AC360" s="13"/>
      <c r="AD360" s="13"/>
      <c r="AE360" s="13"/>
      <c r="AF360" s="17"/>
      <c r="AH360" s="2"/>
      <c r="AL360" s="17"/>
      <c r="AM360" s="17"/>
      <c r="AN360" s="17"/>
      <c r="AO360" s="17"/>
      <c r="AP360" s="17"/>
      <c r="AQ360" s="17"/>
    </row>
    <row r="361" spans="24:43" x14ac:dyDescent="0.45">
      <c r="X361" s="2"/>
      <c r="Y361" s="2"/>
      <c r="AC361" s="13"/>
      <c r="AD361" s="13"/>
      <c r="AE361" s="13"/>
      <c r="AF361" s="17"/>
      <c r="AH361" s="2"/>
      <c r="AL361" s="17"/>
      <c r="AM361" s="17"/>
      <c r="AN361" s="17"/>
      <c r="AO361" s="17"/>
      <c r="AP361" s="17"/>
      <c r="AQ361" s="17"/>
    </row>
    <row r="362" spans="24:43" x14ac:dyDescent="0.45">
      <c r="X362" s="2"/>
      <c r="Y362" s="2"/>
      <c r="AC362" s="13"/>
      <c r="AD362" s="13"/>
      <c r="AE362" s="13"/>
      <c r="AF362" s="17"/>
      <c r="AH362" s="2"/>
      <c r="AL362" s="17"/>
      <c r="AM362" s="17"/>
      <c r="AN362" s="17"/>
      <c r="AO362" s="17"/>
      <c r="AP362" s="17"/>
      <c r="AQ362" s="17"/>
    </row>
    <row r="363" spans="24:43" x14ac:dyDescent="0.45">
      <c r="X363" s="2"/>
      <c r="Y363" s="2"/>
      <c r="AC363" s="13"/>
      <c r="AD363" s="13"/>
      <c r="AE363" s="13"/>
      <c r="AF363" s="17"/>
      <c r="AH363" s="2"/>
      <c r="AL363" s="17"/>
      <c r="AM363" s="17"/>
      <c r="AN363" s="17"/>
      <c r="AO363" s="17"/>
      <c r="AP363" s="17"/>
      <c r="AQ363" s="17"/>
    </row>
    <row r="364" spans="24:43" x14ac:dyDescent="0.45">
      <c r="X364" s="2"/>
      <c r="Y364" s="2"/>
      <c r="AC364" s="13"/>
      <c r="AD364" s="13"/>
      <c r="AE364" s="13"/>
      <c r="AF364" s="17"/>
      <c r="AH364" s="2"/>
      <c r="AL364" s="17"/>
      <c r="AM364" s="17"/>
      <c r="AN364" s="17"/>
      <c r="AO364" s="17"/>
      <c r="AP364" s="17"/>
      <c r="AQ364" s="17"/>
    </row>
    <row r="365" spans="24:43" x14ac:dyDescent="0.45">
      <c r="X365" s="2"/>
      <c r="Y365" s="2"/>
      <c r="AC365" s="13"/>
      <c r="AD365" s="13"/>
      <c r="AE365" s="13"/>
      <c r="AF365" s="17"/>
      <c r="AH365" s="2"/>
      <c r="AL365" s="17"/>
      <c r="AM365" s="17"/>
      <c r="AN365" s="17"/>
      <c r="AO365" s="17"/>
      <c r="AP365" s="17"/>
      <c r="AQ365" s="17"/>
    </row>
    <row r="366" spans="24:43" x14ac:dyDescent="0.45">
      <c r="X366" s="2"/>
      <c r="Y366" s="2"/>
      <c r="AC366" s="13"/>
      <c r="AD366" s="13"/>
      <c r="AE366" s="13"/>
      <c r="AF366" s="17"/>
      <c r="AH366" s="2"/>
      <c r="AL366" s="17"/>
      <c r="AM366" s="17"/>
      <c r="AN366" s="17"/>
      <c r="AO366" s="17"/>
      <c r="AP366" s="17"/>
      <c r="AQ366" s="17"/>
    </row>
    <row r="367" spans="24:43" x14ac:dyDescent="0.45">
      <c r="X367" s="2"/>
      <c r="Y367" s="2"/>
      <c r="AC367" s="13"/>
      <c r="AD367" s="13"/>
      <c r="AE367" s="13"/>
      <c r="AF367" s="17"/>
      <c r="AH367" s="2"/>
      <c r="AL367" s="17"/>
      <c r="AM367" s="17"/>
      <c r="AN367" s="17"/>
      <c r="AO367" s="17"/>
      <c r="AP367" s="17"/>
      <c r="AQ367" s="17"/>
    </row>
    <row r="368" spans="24:43" x14ac:dyDescent="0.45">
      <c r="X368" s="2"/>
      <c r="Y368" s="2"/>
      <c r="AC368" s="13"/>
      <c r="AD368" s="13"/>
      <c r="AE368" s="13"/>
      <c r="AF368" s="17"/>
      <c r="AH368" s="2"/>
      <c r="AL368" s="17"/>
      <c r="AM368" s="17"/>
      <c r="AN368" s="17"/>
      <c r="AO368" s="17"/>
      <c r="AP368" s="17"/>
      <c r="AQ368" s="17"/>
    </row>
    <row r="369" spans="24:43" x14ac:dyDescent="0.45">
      <c r="X369" s="2"/>
      <c r="Y369" s="2"/>
      <c r="AC369" s="13"/>
      <c r="AD369" s="13"/>
      <c r="AE369" s="13"/>
      <c r="AF369" s="17"/>
      <c r="AH369" s="2"/>
      <c r="AL369" s="17"/>
      <c r="AM369" s="17"/>
      <c r="AN369" s="17"/>
      <c r="AO369" s="17"/>
      <c r="AP369" s="17"/>
      <c r="AQ369" s="17"/>
    </row>
    <row r="370" spans="24:43" x14ac:dyDescent="0.45">
      <c r="X370" s="2"/>
      <c r="Y370" s="2"/>
      <c r="AC370" s="13"/>
      <c r="AD370" s="13"/>
      <c r="AE370" s="13"/>
      <c r="AF370" s="17"/>
      <c r="AH370" s="2"/>
      <c r="AL370" s="17"/>
      <c r="AM370" s="17"/>
      <c r="AN370" s="17"/>
      <c r="AO370" s="17"/>
      <c r="AP370" s="17"/>
      <c r="AQ370" s="17"/>
    </row>
    <row r="371" spans="24:43" x14ac:dyDescent="0.45">
      <c r="X371" s="2"/>
      <c r="Y371" s="2"/>
      <c r="AC371" s="13"/>
      <c r="AD371" s="13"/>
      <c r="AE371" s="13"/>
      <c r="AF371" s="17"/>
      <c r="AH371" s="2"/>
      <c r="AL371" s="17"/>
      <c r="AM371" s="17"/>
      <c r="AN371" s="17"/>
      <c r="AO371" s="17"/>
      <c r="AP371" s="17"/>
      <c r="AQ371" s="17"/>
    </row>
    <row r="372" spans="24:43" x14ac:dyDescent="0.45">
      <c r="X372" s="2"/>
      <c r="Y372" s="2"/>
      <c r="AC372" s="13"/>
      <c r="AD372" s="13"/>
      <c r="AE372" s="13"/>
      <c r="AF372" s="17"/>
      <c r="AH372" s="2"/>
      <c r="AL372" s="17"/>
      <c r="AM372" s="17"/>
      <c r="AN372" s="17"/>
      <c r="AO372" s="17"/>
      <c r="AP372" s="17"/>
      <c r="AQ372" s="17"/>
    </row>
    <row r="373" spans="24:43" x14ac:dyDescent="0.45">
      <c r="X373" s="2"/>
      <c r="Y373" s="2"/>
      <c r="AC373" s="13"/>
      <c r="AD373" s="13"/>
      <c r="AE373" s="13"/>
      <c r="AF373" s="17"/>
      <c r="AH373" s="2"/>
      <c r="AL373" s="17"/>
      <c r="AM373" s="17"/>
      <c r="AN373" s="17"/>
      <c r="AO373" s="17"/>
      <c r="AP373" s="17"/>
      <c r="AQ373" s="17"/>
    </row>
    <row r="374" spans="24:43" x14ac:dyDescent="0.45">
      <c r="X374" s="2"/>
      <c r="Y374" s="2"/>
      <c r="AC374" s="13"/>
      <c r="AD374" s="13"/>
      <c r="AE374" s="13"/>
      <c r="AF374" s="17"/>
      <c r="AH374" s="2"/>
      <c r="AL374" s="17"/>
      <c r="AM374" s="17"/>
      <c r="AN374" s="17"/>
      <c r="AO374" s="17"/>
      <c r="AP374" s="17"/>
      <c r="AQ374" s="17"/>
    </row>
    <row r="375" spans="24:43" x14ac:dyDescent="0.45">
      <c r="X375" s="2"/>
      <c r="Y375" s="2"/>
      <c r="AC375" s="13"/>
      <c r="AD375" s="13"/>
      <c r="AE375" s="13"/>
      <c r="AF375" s="17"/>
      <c r="AH375" s="2"/>
      <c r="AL375" s="17"/>
      <c r="AM375" s="17"/>
      <c r="AN375" s="17"/>
      <c r="AO375" s="17"/>
      <c r="AP375" s="17"/>
      <c r="AQ375" s="17"/>
    </row>
    <row r="376" spans="24:43" x14ac:dyDescent="0.45">
      <c r="X376" s="2"/>
      <c r="Y376" s="2"/>
      <c r="AC376" s="13"/>
      <c r="AD376" s="13"/>
      <c r="AE376" s="13"/>
      <c r="AF376" s="17"/>
      <c r="AH376" s="2"/>
      <c r="AL376" s="17"/>
      <c r="AM376" s="17"/>
      <c r="AN376" s="17"/>
      <c r="AO376" s="17"/>
      <c r="AP376" s="17"/>
      <c r="AQ376" s="17"/>
    </row>
    <row r="377" spans="24:43" x14ac:dyDescent="0.45">
      <c r="X377" s="2"/>
      <c r="Y377" s="2"/>
      <c r="AC377" s="13"/>
      <c r="AD377" s="13"/>
      <c r="AE377" s="13"/>
      <c r="AF377" s="17"/>
      <c r="AH377" s="2"/>
      <c r="AL377" s="17"/>
      <c r="AM377" s="17"/>
      <c r="AN377" s="17"/>
      <c r="AO377" s="17"/>
      <c r="AP377" s="17"/>
      <c r="AQ377" s="17"/>
    </row>
    <row r="378" spans="24:43" x14ac:dyDescent="0.45">
      <c r="X378" s="2"/>
      <c r="Y378" s="2"/>
      <c r="AC378" s="13"/>
      <c r="AD378" s="13"/>
      <c r="AE378" s="13"/>
      <c r="AF378" s="17"/>
      <c r="AH378" s="2"/>
      <c r="AL378" s="17"/>
      <c r="AM378" s="17"/>
      <c r="AN378" s="17"/>
      <c r="AO378" s="17"/>
      <c r="AP378" s="17"/>
      <c r="AQ378" s="17"/>
    </row>
    <row r="379" spans="24:43" x14ac:dyDescent="0.45">
      <c r="X379" s="2"/>
      <c r="Y379" s="2"/>
      <c r="AC379" s="13"/>
      <c r="AD379" s="13"/>
      <c r="AE379" s="13"/>
      <c r="AF379" s="17"/>
      <c r="AH379" s="2"/>
      <c r="AL379" s="17"/>
      <c r="AM379" s="17"/>
      <c r="AN379" s="17"/>
      <c r="AO379" s="17"/>
      <c r="AP379" s="17"/>
      <c r="AQ379" s="17"/>
    </row>
    <row r="380" spans="24:43" x14ac:dyDescent="0.45">
      <c r="X380" s="2"/>
      <c r="Y380" s="2"/>
      <c r="AC380" s="13"/>
      <c r="AD380" s="13"/>
      <c r="AE380" s="13"/>
      <c r="AF380" s="17"/>
      <c r="AH380" s="2"/>
      <c r="AL380" s="17"/>
      <c r="AM380" s="17"/>
      <c r="AN380" s="17"/>
      <c r="AO380" s="17"/>
      <c r="AP380" s="17"/>
      <c r="AQ380" s="17"/>
    </row>
    <row r="381" spans="24:43" x14ac:dyDescent="0.45">
      <c r="X381" s="2"/>
      <c r="Y381" s="2"/>
      <c r="AC381" s="13"/>
      <c r="AD381" s="13"/>
      <c r="AE381" s="13"/>
      <c r="AF381" s="17"/>
      <c r="AH381" s="2"/>
      <c r="AL381" s="17"/>
      <c r="AM381" s="17"/>
      <c r="AN381" s="17"/>
      <c r="AO381" s="17"/>
      <c r="AP381" s="17"/>
      <c r="AQ381" s="17"/>
    </row>
    <row r="382" spans="24:43" x14ac:dyDescent="0.45">
      <c r="X382" s="2"/>
      <c r="Y382" s="2"/>
      <c r="AC382" s="13"/>
      <c r="AD382" s="13"/>
      <c r="AE382" s="13"/>
      <c r="AF382" s="17"/>
      <c r="AH382" s="2"/>
      <c r="AL382" s="17"/>
      <c r="AM382" s="17"/>
      <c r="AN382" s="17"/>
      <c r="AO382" s="17"/>
      <c r="AP382" s="17"/>
      <c r="AQ382" s="17"/>
    </row>
    <row r="383" spans="24:43" x14ac:dyDescent="0.45">
      <c r="X383" s="2"/>
      <c r="Y383" s="2"/>
      <c r="AC383" s="13"/>
      <c r="AD383" s="13"/>
      <c r="AE383" s="13"/>
      <c r="AF383" s="17"/>
      <c r="AH383" s="2"/>
      <c r="AL383" s="17"/>
      <c r="AM383" s="17"/>
      <c r="AN383" s="17"/>
      <c r="AO383" s="17"/>
      <c r="AP383" s="17"/>
      <c r="AQ383" s="17"/>
    </row>
    <row r="384" spans="24:43" x14ac:dyDescent="0.45">
      <c r="X384" s="2"/>
      <c r="Y384" s="2"/>
      <c r="AC384" s="13"/>
      <c r="AD384" s="13"/>
      <c r="AE384" s="13"/>
      <c r="AF384" s="17"/>
      <c r="AH384" s="2"/>
      <c r="AL384" s="17"/>
      <c r="AM384" s="17"/>
      <c r="AN384" s="17"/>
      <c r="AO384" s="17"/>
      <c r="AP384" s="17"/>
      <c r="AQ384" s="17"/>
    </row>
    <row r="385" spans="24:43" x14ac:dyDescent="0.45">
      <c r="X385" s="2"/>
      <c r="Y385" s="2"/>
      <c r="AC385" s="13"/>
      <c r="AD385" s="13"/>
      <c r="AE385" s="13"/>
      <c r="AF385" s="17"/>
      <c r="AH385" s="2"/>
      <c r="AL385" s="17"/>
      <c r="AM385" s="17"/>
      <c r="AN385" s="17"/>
      <c r="AO385" s="17"/>
      <c r="AP385" s="17"/>
      <c r="AQ385" s="17"/>
    </row>
    <row r="386" spans="24:43" x14ac:dyDescent="0.45">
      <c r="X386" s="2"/>
      <c r="Y386" s="2"/>
      <c r="AC386" s="13"/>
      <c r="AD386" s="13"/>
      <c r="AE386" s="13"/>
      <c r="AF386" s="17"/>
      <c r="AH386" s="2"/>
      <c r="AL386" s="17"/>
      <c r="AM386" s="17"/>
      <c r="AN386" s="17"/>
      <c r="AO386" s="17"/>
      <c r="AP386" s="17"/>
      <c r="AQ386" s="17"/>
    </row>
    <row r="387" spans="24:43" x14ac:dyDescent="0.45">
      <c r="X387" s="2"/>
      <c r="Y387" s="2"/>
      <c r="AC387" s="13"/>
      <c r="AD387" s="13"/>
      <c r="AE387" s="13"/>
      <c r="AF387" s="17"/>
      <c r="AH387" s="2"/>
      <c r="AL387" s="17"/>
      <c r="AM387" s="17"/>
      <c r="AN387" s="17"/>
      <c r="AO387" s="17"/>
      <c r="AP387" s="17"/>
      <c r="AQ387" s="17"/>
    </row>
    <row r="388" spans="24:43" x14ac:dyDescent="0.45">
      <c r="X388" s="2"/>
      <c r="Y388" s="2"/>
      <c r="AC388" s="13"/>
      <c r="AD388" s="13"/>
      <c r="AE388" s="13"/>
      <c r="AF388" s="17"/>
      <c r="AH388" s="2"/>
      <c r="AL388" s="17"/>
      <c r="AM388" s="17"/>
      <c r="AN388" s="17"/>
      <c r="AO388" s="17"/>
      <c r="AP388" s="17"/>
      <c r="AQ388" s="17"/>
    </row>
    <row r="389" spans="24:43" x14ac:dyDescent="0.45">
      <c r="X389" s="2"/>
      <c r="Y389" s="2"/>
      <c r="AC389" s="13"/>
      <c r="AD389" s="13"/>
      <c r="AE389" s="13"/>
      <c r="AF389" s="17"/>
      <c r="AH389" s="2"/>
      <c r="AL389" s="17"/>
      <c r="AM389" s="17"/>
      <c r="AN389" s="17"/>
      <c r="AO389" s="17"/>
      <c r="AP389" s="17"/>
      <c r="AQ389" s="17"/>
    </row>
    <row r="390" spans="24:43" x14ac:dyDescent="0.45">
      <c r="X390" s="2"/>
      <c r="Y390" s="2"/>
      <c r="AC390" s="13"/>
      <c r="AD390" s="13"/>
      <c r="AE390" s="13"/>
      <c r="AF390" s="17"/>
      <c r="AH390" s="2"/>
      <c r="AL390" s="17"/>
      <c r="AM390" s="17"/>
      <c r="AN390" s="17"/>
      <c r="AO390" s="17"/>
      <c r="AP390" s="17"/>
      <c r="AQ390" s="17"/>
    </row>
    <row r="391" spans="24:43" x14ac:dyDescent="0.45">
      <c r="X391" s="2"/>
      <c r="Y391" s="2"/>
      <c r="AC391" s="13"/>
      <c r="AD391" s="13"/>
      <c r="AE391" s="13"/>
      <c r="AF391" s="17"/>
      <c r="AH391" s="2"/>
      <c r="AL391" s="17"/>
      <c r="AM391" s="17"/>
      <c r="AN391" s="17"/>
      <c r="AO391" s="17"/>
      <c r="AP391" s="17"/>
      <c r="AQ391" s="17"/>
    </row>
    <row r="392" spans="24:43" x14ac:dyDescent="0.45">
      <c r="X392" s="2"/>
      <c r="Y392" s="2"/>
      <c r="AC392" s="13"/>
      <c r="AD392" s="13"/>
      <c r="AE392" s="13"/>
      <c r="AF392" s="17"/>
      <c r="AH392" s="2"/>
      <c r="AL392" s="17"/>
      <c r="AM392" s="17"/>
      <c r="AN392" s="17"/>
      <c r="AO392" s="17"/>
      <c r="AP392" s="17"/>
      <c r="AQ392" s="17"/>
    </row>
    <row r="393" spans="24:43" x14ac:dyDescent="0.45">
      <c r="X393" s="2"/>
      <c r="Y393" s="2"/>
      <c r="AC393" s="13"/>
      <c r="AD393" s="13"/>
      <c r="AE393" s="13"/>
      <c r="AF393" s="17"/>
      <c r="AH393" s="2"/>
      <c r="AL393" s="17"/>
      <c r="AM393" s="17"/>
      <c r="AN393" s="17"/>
      <c r="AO393" s="17"/>
      <c r="AP393" s="17"/>
      <c r="AQ393" s="17"/>
    </row>
    <row r="394" spans="24:43" x14ac:dyDescent="0.45">
      <c r="X394" s="2"/>
      <c r="Y394" s="2"/>
      <c r="AC394" s="13"/>
      <c r="AD394" s="13"/>
      <c r="AE394" s="13"/>
      <c r="AF394" s="17"/>
      <c r="AH394" s="2"/>
      <c r="AL394" s="17"/>
      <c r="AM394" s="17"/>
      <c r="AN394" s="17"/>
      <c r="AO394" s="17"/>
      <c r="AP394" s="17"/>
      <c r="AQ394" s="17"/>
    </row>
    <row r="395" spans="24:43" x14ac:dyDescent="0.45">
      <c r="X395" s="2"/>
      <c r="Y395" s="2"/>
      <c r="AC395" s="13"/>
      <c r="AD395" s="13"/>
      <c r="AE395" s="13"/>
      <c r="AF395" s="17"/>
      <c r="AH395" s="2"/>
      <c r="AL395" s="17"/>
      <c r="AM395" s="17"/>
      <c r="AN395" s="17"/>
      <c r="AO395" s="17"/>
      <c r="AP395" s="17"/>
      <c r="AQ395" s="17"/>
    </row>
    <row r="396" spans="24:43" x14ac:dyDescent="0.45">
      <c r="X396" s="2"/>
      <c r="Y396" s="2"/>
      <c r="AC396" s="13"/>
      <c r="AD396" s="13"/>
      <c r="AE396" s="13"/>
      <c r="AF396" s="17"/>
      <c r="AH396" s="2"/>
      <c r="AL396" s="17"/>
      <c r="AM396" s="17"/>
      <c r="AN396" s="17"/>
      <c r="AO396" s="17"/>
      <c r="AP396" s="17"/>
      <c r="AQ396" s="17"/>
    </row>
    <row r="397" spans="24:43" x14ac:dyDescent="0.45">
      <c r="X397" s="2"/>
      <c r="Y397" s="2"/>
      <c r="AC397" s="13"/>
      <c r="AD397" s="13"/>
      <c r="AE397" s="13"/>
      <c r="AF397" s="17"/>
      <c r="AH397" s="2"/>
      <c r="AL397" s="17"/>
      <c r="AM397" s="17"/>
      <c r="AN397" s="17"/>
      <c r="AO397" s="17"/>
      <c r="AP397" s="17"/>
      <c r="AQ397" s="17"/>
    </row>
    <row r="398" spans="24:43" x14ac:dyDescent="0.45">
      <c r="X398" s="2"/>
      <c r="Y398" s="2"/>
      <c r="AC398" s="13"/>
      <c r="AD398" s="13"/>
      <c r="AE398" s="13"/>
      <c r="AF398" s="17"/>
      <c r="AH398" s="2"/>
      <c r="AL398" s="17"/>
      <c r="AM398" s="17"/>
      <c r="AN398" s="17"/>
      <c r="AO398" s="17"/>
      <c r="AP398" s="17"/>
      <c r="AQ398" s="17"/>
    </row>
    <row r="399" spans="24:43" x14ac:dyDescent="0.45">
      <c r="X399" s="2"/>
      <c r="Y399" s="2"/>
      <c r="AC399" s="13"/>
      <c r="AD399" s="13"/>
      <c r="AE399" s="13"/>
      <c r="AF399" s="17"/>
      <c r="AH399" s="2"/>
      <c r="AL399" s="17"/>
      <c r="AM399" s="17"/>
      <c r="AN399" s="17"/>
      <c r="AO399" s="17"/>
      <c r="AP399" s="17"/>
      <c r="AQ399" s="17"/>
    </row>
    <row r="400" spans="24:43" x14ac:dyDescent="0.45">
      <c r="X400" s="2"/>
      <c r="Y400" s="2"/>
      <c r="AC400" s="13"/>
      <c r="AD400" s="13"/>
      <c r="AE400" s="13"/>
      <c r="AF400" s="17"/>
      <c r="AH400" s="2"/>
      <c r="AL400" s="17"/>
      <c r="AM400" s="17"/>
      <c r="AN400" s="17"/>
      <c r="AO400" s="17"/>
      <c r="AP400" s="17"/>
      <c r="AQ400" s="17"/>
    </row>
    <row r="401" spans="24:43" x14ac:dyDescent="0.45">
      <c r="X401" s="2"/>
      <c r="Y401" s="2"/>
      <c r="AC401" s="13"/>
      <c r="AD401" s="13"/>
      <c r="AE401" s="13"/>
      <c r="AF401" s="17"/>
      <c r="AH401" s="2"/>
      <c r="AL401" s="17"/>
      <c r="AM401" s="17"/>
      <c r="AN401" s="17"/>
      <c r="AO401" s="17"/>
      <c r="AP401" s="17"/>
      <c r="AQ401" s="17"/>
    </row>
    <row r="402" spans="24:43" x14ac:dyDescent="0.45">
      <c r="X402" s="2"/>
      <c r="Y402" s="2"/>
      <c r="AC402" s="13"/>
      <c r="AD402" s="13"/>
      <c r="AE402" s="13"/>
      <c r="AF402" s="17"/>
      <c r="AH402" s="2"/>
      <c r="AL402" s="17"/>
      <c r="AM402" s="17"/>
      <c r="AN402" s="17"/>
      <c r="AO402" s="17"/>
      <c r="AP402" s="17"/>
      <c r="AQ402" s="17"/>
    </row>
    <row r="403" spans="24:43" x14ac:dyDescent="0.45">
      <c r="X403" s="2"/>
      <c r="Y403" s="2"/>
      <c r="AC403" s="13"/>
      <c r="AD403" s="13"/>
      <c r="AE403" s="13"/>
      <c r="AF403" s="17"/>
      <c r="AH403" s="2"/>
      <c r="AL403" s="17"/>
      <c r="AM403" s="17"/>
      <c r="AN403" s="17"/>
      <c r="AO403" s="17"/>
      <c r="AP403" s="17"/>
      <c r="AQ403" s="17"/>
    </row>
    <row r="404" spans="24:43" x14ac:dyDescent="0.45">
      <c r="X404" s="2"/>
      <c r="Y404" s="2"/>
      <c r="AC404" s="13"/>
      <c r="AD404" s="13"/>
      <c r="AE404" s="13"/>
      <c r="AF404" s="17"/>
      <c r="AH404" s="2"/>
      <c r="AL404" s="17"/>
      <c r="AM404" s="17"/>
      <c r="AN404" s="17"/>
      <c r="AO404" s="17"/>
      <c r="AP404" s="17"/>
      <c r="AQ404" s="17"/>
    </row>
    <row r="405" spans="24:43" x14ac:dyDescent="0.45">
      <c r="X405" s="2"/>
      <c r="Y405" s="2"/>
      <c r="AC405" s="13"/>
      <c r="AD405" s="13"/>
      <c r="AE405" s="13"/>
      <c r="AF405" s="17"/>
      <c r="AH405" s="2"/>
      <c r="AL405" s="17"/>
      <c r="AM405" s="17"/>
      <c r="AN405" s="17"/>
      <c r="AO405" s="17"/>
      <c r="AP405" s="17"/>
      <c r="AQ405" s="17"/>
    </row>
    <row r="406" spans="24:43" x14ac:dyDescent="0.45">
      <c r="X406" s="2"/>
      <c r="Y406" s="2"/>
      <c r="AC406" s="13"/>
      <c r="AD406" s="13"/>
      <c r="AE406" s="13"/>
      <c r="AF406" s="17"/>
      <c r="AH406" s="2"/>
      <c r="AL406" s="17"/>
      <c r="AM406" s="17"/>
      <c r="AN406" s="17"/>
      <c r="AO406" s="17"/>
      <c r="AP406" s="17"/>
      <c r="AQ406" s="17"/>
    </row>
    <row r="407" spans="24:43" x14ac:dyDescent="0.45">
      <c r="X407" s="2"/>
      <c r="Y407" s="2"/>
      <c r="AC407" s="13"/>
      <c r="AD407" s="13"/>
      <c r="AE407" s="13"/>
      <c r="AF407" s="17"/>
      <c r="AH407" s="2"/>
      <c r="AL407" s="17"/>
      <c r="AM407" s="17"/>
      <c r="AN407" s="17"/>
      <c r="AO407" s="17"/>
      <c r="AP407" s="17"/>
      <c r="AQ407" s="17"/>
    </row>
    <row r="408" spans="24:43" x14ac:dyDescent="0.45">
      <c r="X408" s="2"/>
      <c r="Y408" s="2"/>
      <c r="AC408" s="13"/>
      <c r="AD408" s="13"/>
      <c r="AE408" s="13"/>
      <c r="AF408" s="17"/>
      <c r="AH408" s="2"/>
      <c r="AL408" s="17"/>
      <c r="AM408" s="17"/>
      <c r="AN408" s="17"/>
      <c r="AO408" s="17"/>
      <c r="AP408" s="17"/>
      <c r="AQ408" s="17"/>
    </row>
    <row r="409" spans="24:43" x14ac:dyDescent="0.45">
      <c r="X409" s="2"/>
      <c r="Y409" s="2"/>
      <c r="AC409" s="13"/>
      <c r="AD409" s="13"/>
      <c r="AE409" s="13"/>
      <c r="AF409" s="17"/>
      <c r="AH409" s="2"/>
      <c r="AL409" s="17"/>
      <c r="AM409" s="17"/>
      <c r="AN409" s="17"/>
      <c r="AO409" s="17"/>
      <c r="AP409" s="17"/>
      <c r="AQ409" s="17"/>
    </row>
    <row r="410" spans="24:43" x14ac:dyDescent="0.45">
      <c r="X410" s="2"/>
      <c r="Y410" s="2"/>
      <c r="AC410" s="13"/>
      <c r="AD410" s="13"/>
      <c r="AE410" s="13"/>
      <c r="AF410" s="17"/>
      <c r="AH410" s="2"/>
      <c r="AL410" s="17"/>
      <c r="AM410" s="17"/>
      <c r="AN410" s="17"/>
      <c r="AO410" s="17"/>
      <c r="AP410" s="17"/>
      <c r="AQ410" s="17"/>
    </row>
    <row r="411" spans="24:43" x14ac:dyDescent="0.45">
      <c r="X411" s="2"/>
      <c r="Y411" s="2"/>
      <c r="AC411" s="13"/>
      <c r="AD411" s="13"/>
      <c r="AE411" s="13"/>
      <c r="AF411" s="17"/>
      <c r="AH411" s="2"/>
      <c r="AL411" s="17"/>
      <c r="AM411" s="17"/>
      <c r="AN411" s="17"/>
      <c r="AO411" s="17"/>
      <c r="AP411" s="17"/>
      <c r="AQ411" s="17"/>
    </row>
    <row r="412" spans="24:43" x14ac:dyDescent="0.45">
      <c r="X412" s="2"/>
      <c r="Y412" s="2"/>
      <c r="AC412" s="13"/>
      <c r="AD412" s="13"/>
      <c r="AE412" s="13"/>
      <c r="AF412" s="17"/>
      <c r="AH412" s="2"/>
      <c r="AL412" s="17"/>
      <c r="AM412" s="17"/>
      <c r="AN412" s="17"/>
      <c r="AO412" s="17"/>
      <c r="AP412" s="17"/>
      <c r="AQ412" s="17"/>
    </row>
    <row r="413" spans="24:43" x14ac:dyDescent="0.45">
      <c r="X413" s="2"/>
      <c r="Y413" s="2"/>
      <c r="AC413" s="13"/>
      <c r="AD413" s="13"/>
      <c r="AE413" s="13"/>
      <c r="AF413" s="17"/>
      <c r="AH413" s="2"/>
      <c r="AL413" s="17"/>
      <c r="AM413" s="17"/>
      <c r="AN413" s="17"/>
      <c r="AO413" s="17"/>
      <c r="AP413" s="17"/>
      <c r="AQ413" s="17"/>
    </row>
    <row r="414" spans="24:43" x14ac:dyDescent="0.45">
      <c r="X414" s="2"/>
      <c r="Y414" s="2"/>
      <c r="AC414" s="13"/>
      <c r="AD414" s="13"/>
      <c r="AE414" s="13"/>
      <c r="AF414" s="17"/>
      <c r="AH414" s="2"/>
      <c r="AL414" s="17"/>
      <c r="AM414" s="17"/>
      <c r="AN414" s="17"/>
      <c r="AO414" s="17"/>
      <c r="AP414" s="17"/>
      <c r="AQ414" s="17"/>
    </row>
    <row r="415" spans="24:43" x14ac:dyDescent="0.45">
      <c r="X415" s="2"/>
      <c r="Y415" s="2"/>
      <c r="AC415" s="13"/>
      <c r="AD415" s="13"/>
      <c r="AE415" s="13"/>
      <c r="AF415" s="17"/>
      <c r="AH415" s="2"/>
      <c r="AL415" s="17"/>
      <c r="AM415" s="17"/>
      <c r="AN415" s="17"/>
      <c r="AO415" s="17"/>
      <c r="AP415" s="17"/>
      <c r="AQ415" s="17"/>
    </row>
    <row r="416" spans="24:43" x14ac:dyDescent="0.45">
      <c r="X416" s="2"/>
      <c r="Y416" s="2"/>
      <c r="AC416" s="13"/>
      <c r="AD416" s="13"/>
      <c r="AE416" s="13"/>
      <c r="AF416" s="17"/>
      <c r="AH416" s="2"/>
      <c r="AL416" s="17"/>
      <c r="AM416" s="17"/>
      <c r="AN416" s="17"/>
      <c r="AO416" s="17"/>
      <c r="AP416" s="17"/>
      <c r="AQ416" s="17"/>
    </row>
    <row r="417" spans="24:43" x14ac:dyDescent="0.45">
      <c r="X417" s="2"/>
      <c r="Y417" s="2"/>
      <c r="AC417" s="13"/>
      <c r="AD417" s="13"/>
      <c r="AE417" s="13"/>
      <c r="AF417" s="17"/>
      <c r="AH417" s="2"/>
      <c r="AL417" s="17"/>
      <c r="AM417" s="17"/>
      <c r="AN417" s="17"/>
      <c r="AO417" s="17"/>
      <c r="AP417" s="17"/>
      <c r="AQ417" s="17"/>
    </row>
    <row r="418" spans="24:43" x14ac:dyDescent="0.45">
      <c r="X418" s="2"/>
      <c r="Y418" s="2"/>
      <c r="AC418" s="13"/>
      <c r="AD418" s="13"/>
      <c r="AE418" s="13"/>
      <c r="AF418" s="17"/>
      <c r="AH418" s="2"/>
      <c r="AL418" s="17"/>
      <c r="AM418" s="17"/>
      <c r="AN418" s="17"/>
      <c r="AO418" s="17"/>
      <c r="AP418" s="17"/>
      <c r="AQ418" s="17"/>
    </row>
    <row r="419" spans="24:43" x14ac:dyDescent="0.45">
      <c r="X419" s="2"/>
      <c r="Y419" s="2"/>
      <c r="AC419" s="13"/>
      <c r="AD419" s="13"/>
      <c r="AE419" s="13"/>
      <c r="AF419" s="17"/>
      <c r="AH419" s="2"/>
      <c r="AL419" s="17"/>
      <c r="AM419" s="17"/>
      <c r="AN419" s="17"/>
      <c r="AO419" s="17"/>
      <c r="AP419" s="17"/>
      <c r="AQ419" s="17"/>
    </row>
    <row r="420" spans="24:43" x14ac:dyDescent="0.45">
      <c r="X420" s="2"/>
      <c r="Y420" s="2"/>
      <c r="AC420" s="13"/>
      <c r="AD420" s="13"/>
      <c r="AE420" s="13"/>
      <c r="AF420" s="17"/>
      <c r="AH420" s="2"/>
      <c r="AL420" s="17"/>
      <c r="AM420" s="17"/>
      <c r="AN420" s="17"/>
      <c r="AO420" s="17"/>
      <c r="AP420" s="17"/>
      <c r="AQ420" s="17"/>
    </row>
    <row r="421" spans="24:43" x14ac:dyDescent="0.45">
      <c r="X421" s="2"/>
      <c r="Y421" s="2"/>
      <c r="AC421" s="13"/>
      <c r="AD421" s="13"/>
      <c r="AE421" s="13"/>
      <c r="AF421" s="17"/>
      <c r="AH421" s="2"/>
      <c r="AL421" s="17"/>
      <c r="AM421" s="17"/>
      <c r="AN421" s="17"/>
      <c r="AO421" s="17"/>
      <c r="AP421" s="17"/>
      <c r="AQ421" s="17"/>
    </row>
    <row r="422" spans="24:43" x14ac:dyDescent="0.45">
      <c r="X422" s="2"/>
      <c r="Y422" s="2"/>
      <c r="AC422" s="13"/>
      <c r="AD422" s="13"/>
      <c r="AE422" s="13"/>
      <c r="AF422" s="17"/>
      <c r="AH422" s="2"/>
      <c r="AL422" s="17"/>
      <c r="AM422" s="17"/>
      <c r="AN422" s="17"/>
      <c r="AO422" s="17"/>
      <c r="AP422" s="17"/>
      <c r="AQ422" s="17"/>
    </row>
    <row r="423" spans="24:43" x14ac:dyDescent="0.45">
      <c r="X423" s="2"/>
      <c r="Y423" s="2"/>
      <c r="AC423" s="13"/>
      <c r="AD423" s="13"/>
      <c r="AE423" s="13"/>
      <c r="AF423" s="17"/>
      <c r="AH423" s="2"/>
      <c r="AL423" s="17"/>
      <c r="AM423" s="17"/>
      <c r="AN423" s="17"/>
      <c r="AO423" s="17"/>
      <c r="AP423" s="17"/>
      <c r="AQ423" s="17"/>
    </row>
    <row r="424" spans="24:43" x14ac:dyDescent="0.45">
      <c r="X424" s="2"/>
      <c r="Y424" s="2"/>
      <c r="AC424" s="13"/>
      <c r="AD424" s="13"/>
      <c r="AE424" s="13"/>
      <c r="AF424" s="17"/>
      <c r="AH424" s="2"/>
      <c r="AL424" s="17"/>
      <c r="AM424" s="17"/>
      <c r="AN424" s="17"/>
      <c r="AO424" s="17"/>
      <c r="AP424" s="17"/>
      <c r="AQ424" s="17"/>
    </row>
    <row r="425" spans="24:43" x14ac:dyDescent="0.45">
      <c r="X425" s="2"/>
      <c r="Y425" s="2"/>
      <c r="AC425" s="13"/>
      <c r="AD425" s="13"/>
      <c r="AE425" s="13"/>
      <c r="AF425" s="17"/>
      <c r="AH425" s="2"/>
      <c r="AL425" s="17"/>
      <c r="AM425" s="17"/>
      <c r="AN425" s="17"/>
      <c r="AO425" s="17"/>
      <c r="AP425" s="17"/>
      <c r="AQ425" s="17"/>
    </row>
    <row r="426" spans="24:43" x14ac:dyDescent="0.45">
      <c r="X426" s="2"/>
      <c r="Y426" s="2"/>
      <c r="AC426" s="13"/>
      <c r="AD426" s="13"/>
      <c r="AE426" s="13"/>
      <c r="AF426" s="17"/>
      <c r="AH426" s="2"/>
      <c r="AL426" s="17"/>
      <c r="AM426" s="17"/>
      <c r="AN426" s="17"/>
      <c r="AO426" s="17"/>
      <c r="AP426" s="17"/>
      <c r="AQ426" s="17"/>
    </row>
    <row r="427" spans="24:43" x14ac:dyDescent="0.45">
      <c r="X427" s="2"/>
      <c r="Y427" s="2"/>
      <c r="AC427" s="13"/>
      <c r="AD427" s="13"/>
      <c r="AE427" s="13"/>
      <c r="AF427" s="17"/>
      <c r="AH427" s="2"/>
      <c r="AL427" s="17"/>
      <c r="AM427" s="17"/>
      <c r="AN427" s="17"/>
      <c r="AO427" s="17"/>
      <c r="AP427" s="17"/>
      <c r="AQ427" s="17"/>
    </row>
    <row r="428" spans="24:43" x14ac:dyDescent="0.45">
      <c r="X428" s="2"/>
      <c r="Y428" s="2"/>
      <c r="AC428" s="13"/>
      <c r="AD428" s="13"/>
      <c r="AE428" s="13"/>
      <c r="AF428" s="17"/>
      <c r="AH428" s="2"/>
      <c r="AL428" s="17"/>
      <c r="AM428" s="17"/>
      <c r="AN428" s="17"/>
      <c r="AO428" s="17"/>
      <c r="AP428" s="17"/>
      <c r="AQ428" s="17"/>
    </row>
    <row r="429" spans="24:43" x14ac:dyDescent="0.45">
      <c r="X429" s="2"/>
      <c r="Y429" s="2"/>
      <c r="AC429" s="13"/>
      <c r="AD429" s="13"/>
      <c r="AE429" s="13"/>
      <c r="AF429" s="17"/>
      <c r="AH429" s="2"/>
      <c r="AL429" s="17"/>
      <c r="AM429" s="17"/>
      <c r="AN429" s="17"/>
      <c r="AO429" s="17"/>
      <c r="AP429" s="17"/>
      <c r="AQ429" s="17"/>
    </row>
    <row r="430" spans="24:43" x14ac:dyDescent="0.45">
      <c r="X430" s="2"/>
      <c r="Y430" s="2"/>
      <c r="AC430" s="13"/>
      <c r="AD430" s="13"/>
      <c r="AE430" s="13"/>
      <c r="AF430" s="17"/>
      <c r="AH430" s="2"/>
      <c r="AL430" s="17"/>
      <c r="AM430" s="17"/>
      <c r="AN430" s="17"/>
      <c r="AO430" s="17"/>
      <c r="AP430" s="17"/>
      <c r="AQ430" s="17"/>
    </row>
    <row r="431" spans="24:43" x14ac:dyDescent="0.45">
      <c r="X431" s="2"/>
      <c r="Y431" s="2"/>
      <c r="AC431" s="13"/>
      <c r="AD431" s="13"/>
      <c r="AE431" s="13"/>
      <c r="AF431" s="17"/>
      <c r="AH431" s="2"/>
      <c r="AL431" s="17"/>
      <c r="AM431" s="17"/>
      <c r="AN431" s="17"/>
      <c r="AO431" s="17"/>
      <c r="AP431" s="17"/>
      <c r="AQ431" s="17"/>
    </row>
    <row r="432" spans="24:43" x14ac:dyDescent="0.45">
      <c r="X432" s="2"/>
      <c r="Y432" s="2"/>
      <c r="AC432" s="13"/>
      <c r="AD432" s="13"/>
      <c r="AE432" s="13"/>
      <c r="AF432" s="17"/>
      <c r="AH432" s="2"/>
      <c r="AL432" s="17"/>
      <c r="AM432" s="17"/>
      <c r="AN432" s="17"/>
      <c r="AO432" s="17"/>
      <c r="AP432" s="17"/>
      <c r="AQ432" s="17"/>
    </row>
    <row r="433" spans="24:43" x14ac:dyDescent="0.45">
      <c r="X433" s="2"/>
      <c r="Y433" s="2"/>
      <c r="AC433" s="13"/>
      <c r="AD433" s="13"/>
      <c r="AE433" s="13"/>
      <c r="AF433" s="17"/>
      <c r="AH433" s="2"/>
      <c r="AL433" s="17"/>
      <c r="AM433" s="17"/>
      <c r="AN433" s="17"/>
      <c r="AO433" s="17"/>
      <c r="AP433" s="17"/>
      <c r="AQ433" s="17"/>
    </row>
    <row r="434" spans="24:43" x14ac:dyDescent="0.45">
      <c r="X434" s="2"/>
      <c r="Y434" s="2"/>
      <c r="AC434" s="13"/>
      <c r="AD434" s="13"/>
      <c r="AE434" s="13"/>
      <c r="AF434" s="17"/>
      <c r="AH434" s="2"/>
      <c r="AL434" s="17"/>
      <c r="AM434" s="17"/>
      <c r="AN434" s="17"/>
      <c r="AO434" s="17"/>
      <c r="AP434" s="17"/>
      <c r="AQ434" s="17"/>
    </row>
    <row r="435" spans="24:43" x14ac:dyDescent="0.45">
      <c r="X435" s="2"/>
      <c r="Y435" s="2"/>
      <c r="AC435" s="13"/>
      <c r="AD435" s="13"/>
      <c r="AE435" s="13"/>
      <c r="AF435" s="17"/>
      <c r="AH435" s="2"/>
      <c r="AL435" s="17"/>
      <c r="AM435" s="17"/>
      <c r="AN435" s="17"/>
      <c r="AO435" s="17"/>
      <c r="AP435" s="17"/>
      <c r="AQ435" s="17"/>
    </row>
    <row r="436" spans="24:43" x14ac:dyDescent="0.45">
      <c r="X436" s="2"/>
      <c r="Y436" s="2"/>
      <c r="AC436" s="13"/>
      <c r="AD436" s="13"/>
      <c r="AE436" s="13"/>
      <c r="AF436" s="17"/>
      <c r="AH436" s="2"/>
      <c r="AL436" s="17"/>
      <c r="AM436" s="17"/>
      <c r="AN436" s="17"/>
      <c r="AO436" s="17"/>
      <c r="AP436" s="17"/>
      <c r="AQ436" s="17"/>
    </row>
    <row r="437" spans="24:43" x14ac:dyDescent="0.45">
      <c r="X437" s="2"/>
      <c r="Y437" s="2"/>
      <c r="AC437" s="13"/>
      <c r="AD437" s="13"/>
      <c r="AE437" s="13"/>
      <c r="AF437" s="17"/>
      <c r="AH437" s="2"/>
      <c r="AL437" s="17"/>
      <c r="AM437" s="17"/>
      <c r="AN437" s="17"/>
      <c r="AO437" s="17"/>
      <c r="AP437" s="17"/>
      <c r="AQ437" s="17"/>
    </row>
    <row r="438" spans="24:43" x14ac:dyDescent="0.45">
      <c r="X438" s="2"/>
      <c r="Y438" s="2"/>
      <c r="AC438" s="13"/>
      <c r="AD438" s="13"/>
      <c r="AE438" s="13"/>
      <c r="AF438" s="17"/>
      <c r="AH438" s="2"/>
      <c r="AL438" s="17"/>
      <c r="AM438" s="17"/>
      <c r="AN438" s="17"/>
      <c r="AO438" s="17"/>
      <c r="AP438" s="17"/>
      <c r="AQ438" s="17"/>
    </row>
    <row r="439" spans="24:43" x14ac:dyDescent="0.45">
      <c r="X439" s="2"/>
      <c r="Y439" s="2"/>
      <c r="AC439" s="13"/>
      <c r="AD439" s="13"/>
      <c r="AE439" s="13"/>
      <c r="AF439" s="17"/>
      <c r="AH439" s="2"/>
      <c r="AL439" s="17"/>
      <c r="AM439" s="17"/>
      <c r="AN439" s="17"/>
      <c r="AO439" s="17"/>
      <c r="AP439" s="17"/>
      <c r="AQ439" s="17"/>
    </row>
    <row r="440" spans="24:43" x14ac:dyDescent="0.45">
      <c r="X440" s="2"/>
      <c r="Y440" s="2"/>
      <c r="AC440" s="13"/>
      <c r="AD440" s="13"/>
      <c r="AE440" s="13"/>
      <c r="AF440" s="17"/>
      <c r="AH440" s="2"/>
      <c r="AL440" s="17"/>
      <c r="AM440" s="17"/>
      <c r="AN440" s="17"/>
      <c r="AO440" s="17"/>
      <c r="AP440" s="17"/>
      <c r="AQ440" s="17"/>
    </row>
    <row r="441" spans="24:43" x14ac:dyDescent="0.45">
      <c r="X441" s="2"/>
      <c r="Y441" s="2"/>
      <c r="AC441" s="13"/>
      <c r="AD441" s="13"/>
      <c r="AE441" s="13"/>
      <c r="AF441" s="17"/>
      <c r="AH441" s="2"/>
      <c r="AL441" s="17"/>
      <c r="AM441" s="17"/>
      <c r="AN441" s="17"/>
      <c r="AO441" s="17"/>
      <c r="AP441" s="17"/>
      <c r="AQ441" s="17"/>
    </row>
    <row r="442" spans="24:43" x14ac:dyDescent="0.45">
      <c r="X442" s="2"/>
      <c r="Y442" s="2"/>
      <c r="AC442" s="13"/>
      <c r="AD442" s="13"/>
      <c r="AE442" s="13"/>
      <c r="AF442" s="17"/>
      <c r="AH442" s="2"/>
      <c r="AL442" s="17"/>
      <c r="AM442" s="17"/>
      <c r="AN442" s="17"/>
      <c r="AO442" s="17"/>
      <c r="AP442" s="17"/>
      <c r="AQ442" s="17"/>
    </row>
    <row r="443" spans="24:43" x14ac:dyDescent="0.45">
      <c r="X443" s="2"/>
      <c r="Y443" s="2"/>
      <c r="AC443" s="13"/>
      <c r="AD443" s="13"/>
      <c r="AE443" s="13"/>
      <c r="AF443" s="17"/>
      <c r="AH443" s="2"/>
      <c r="AL443" s="17"/>
      <c r="AM443" s="17"/>
      <c r="AN443" s="17"/>
      <c r="AO443" s="17"/>
      <c r="AP443" s="17"/>
      <c r="AQ443" s="17"/>
    </row>
    <row r="444" spans="24:43" x14ac:dyDescent="0.45">
      <c r="X444" s="2"/>
      <c r="Y444" s="2"/>
      <c r="AC444" s="13"/>
      <c r="AD444" s="13"/>
      <c r="AE444" s="13"/>
      <c r="AF444" s="17"/>
      <c r="AH444" s="2"/>
      <c r="AL444" s="17"/>
      <c r="AM444" s="17"/>
      <c r="AN444" s="17"/>
      <c r="AO444" s="17"/>
      <c r="AP444" s="17"/>
      <c r="AQ444" s="17"/>
    </row>
    <row r="445" spans="24:43" x14ac:dyDescent="0.45">
      <c r="X445" s="2"/>
      <c r="Y445" s="2"/>
      <c r="AC445" s="13"/>
      <c r="AD445" s="13"/>
      <c r="AE445" s="13"/>
      <c r="AF445" s="17"/>
      <c r="AH445" s="2"/>
      <c r="AL445" s="17"/>
      <c r="AM445" s="17"/>
      <c r="AN445" s="17"/>
      <c r="AO445" s="17"/>
      <c r="AP445" s="17"/>
      <c r="AQ445" s="17"/>
    </row>
    <row r="446" spans="24:43" x14ac:dyDescent="0.45">
      <c r="X446" s="2"/>
      <c r="Y446" s="2"/>
      <c r="AC446" s="13"/>
      <c r="AD446" s="13"/>
      <c r="AE446" s="13"/>
      <c r="AF446" s="17"/>
      <c r="AH446" s="2"/>
      <c r="AL446" s="17"/>
      <c r="AM446" s="17"/>
      <c r="AN446" s="17"/>
      <c r="AO446" s="17"/>
      <c r="AP446" s="17"/>
      <c r="AQ446" s="17"/>
    </row>
    <row r="447" spans="24:43" x14ac:dyDescent="0.45">
      <c r="X447" s="2"/>
      <c r="Y447" s="2"/>
      <c r="AC447" s="13"/>
      <c r="AD447" s="13"/>
      <c r="AE447" s="13"/>
      <c r="AF447" s="17"/>
      <c r="AH447" s="2"/>
      <c r="AL447" s="17"/>
      <c r="AM447" s="17"/>
      <c r="AN447" s="17"/>
      <c r="AO447" s="17"/>
      <c r="AP447" s="17"/>
      <c r="AQ447" s="17"/>
    </row>
    <row r="448" spans="24:43" x14ac:dyDescent="0.45">
      <c r="X448" s="2"/>
      <c r="Y448" s="2"/>
      <c r="AC448" s="13"/>
      <c r="AD448" s="13"/>
      <c r="AE448" s="13"/>
      <c r="AF448" s="17"/>
      <c r="AH448" s="2"/>
      <c r="AL448" s="17"/>
      <c r="AM448" s="17"/>
      <c r="AN448" s="17"/>
      <c r="AO448" s="17"/>
      <c r="AP448" s="17"/>
      <c r="AQ448" s="17"/>
    </row>
    <row r="449" spans="24:43" x14ac:dyDescent="0.45">
      <c r="X449" s="2"/>
      <c r="Y449" s="2"/>
      <c r="AC449" s="13"/>
      <c r="AD449" s="13"/>
      <c r="AE449" s="13"/>
      <c r="AF449" s="17"/>
      <c r="AH449" s="2"/>
      <c r="AL449" s="17"/>
      <c r="AM449" s="17"/>
      <c r="AN449" s="17"/>
      <c r="AO449" s="17"/>
      <c r="AP449" s="17"/>
      <c r="AQ449" s="17"/>
    </row>
    <row r="450" spans="24:43" x14ac:dyDescent="0.45">
      <c r="X450" s="2"/>
      <c r="Y450" s="2"/>
      <c r="AC450" s="13"/>
      <c r="AD450" s="13"/>
      <c r="AE450" s="13"/>
      <c r="AF450" s="17"/>
      <c r="AH450" s="2"/>
      <c r="AL450" s="17"/>
      <c r="AM450" s="17"/>
      <c r="AN450" s="17"/>
      <c r="AO450" s="17"/>
      <c r="AP450" s="17"/>
      <c r="AQ450" s="17"/>
    </row>
    <row r="451" spans="24:43" x14ac:dyDescent="0.45">
      <c r="X451" s="2"/>
      <c r="Y451" s="2"/>
      <c r="AC451" s="13"/>
      <c r="AD451" s="13"/>
      <c r="AE451" s="13"/>
      <c r="AF451" s="17"/>
      <c r="AH451" s="2"/>
      <c r="AL451" s="17"/>
      <c r="AM451" s="17"/>
      <c r="AN451" s="17"/>
      <c r="AO451" s="17"/>
      <c r="AP451" s="17"/>
      <c r="AQ451" s="17"/>
    </row>
    <row r="452" spans="24:43" x14ac:dyDescent="0.45">
      <c r="X452" s="2"/>
      <c r="Y452" s="2"/>
      <c r="AC452" s="13"/>
      <c r="AD452" s="13"/>
      <c r="AE452" s="13"/>
      <c r="AF452" s="17"/>
      <c r="AH452" s="2"/>
      <c r="AL452" s="17"/>
      <c r="AM452" s="17"/>
      <c r="AN452" s="17"/>
      <c r="AO452" s="17"/>
      <c r="AP452" s="17"/>
      <c r="AQ452" s="17"/>
    </row>
    <row r="453" spans="24:43" x14ac:dyDescent="0.45">
      <c r="X453" s="2"/>
      <c r="Y453" s="2"/>
      <c r="AC453" s="13"/>
      <c r="AD453" s="13"/>
      <c r="AE453" s="13"/>
      <c r="AF453" s="17"/>
      <c r="AH453" s="2"/>
      <c r="AL453" s="17"/>
      <c r="AM453" s="17"/>
      <c r="AN453" s="17"/>
      <c r="AO453" s="17"/>
      <c r="AP453" s="17"/>
      <c r="AQ453" s="17"/>
    </row>
    <row r="454" spans="24:43" x14ac:dyDescent="0.45">
      <c r="X454" s="2"/>
      <c r="Y454" s="2"/>
      <c r="AC454" s="13"/>
      <c r="AD454" s="13"/>
      <c r="AE454" s="13"/>
      <c r="AF454" s="17"/>
      <c r="AH454" s="2"/>
      <c r="AL454" s="17"/>
      <c r="AM454" s="17"/>
      <c r="AN454" s="17"/>
      <c r="AO454" s="17"/>
      <c r="AP454" s="17"/>
      <c r="AQ454" s="17"/>
    </row>
    <row r="455" spans="24:43" x14ac:dyDescent="0.45">
      <c r="X455" s="2"/>
      <c r="Y455" s="2"/>
      <c r="AC455" s="13"/>
      <c r="AD455" s="13"/>
      <c r="AE455" s="13"/>
      <c r="AF455" s="17"/>
      <c r="AH455" s="2"/>
      <c r="AL455" s="17"/>
      <c r="AM455" s="17"/>
      <c r="AN455" s="17"/>
      <c r="AO455" s="17"/>
      <c r="AP455" s="17"/>
      <c r="AQ455" s="17"/>
    </row>
    <row r="456" spans="24:43" x14ac:dyDescent="0.45">
      <c r="X456" s="2"/>
      <c r="Y456" s="2"/>
      <c r="AC456" s="13"/>
      <c r="AD456" s="13"/>
      <c r="AE456" s="13"/>
      <c r="AF456" s="17"/>
      <c r="AH456" s="2"/>
      <c r="AL456" s="17"/>
      <c r="AM456" s="17"/>
      <c r="AN456" s="17"/>
      <c r="AO456" s="17"/>
      <c r="AP456" s="17"/>
      <c r="AQ456" s="17"/>
    </row>
    <row r="457" spans="24:43" x14ac:dyDescent="0.45">
      <c r="X457" s="2"/>
      <c r="Y457" s="2"/>
      <c r="AC457" s="13"/>
      <c r="AD457" s="13"/>
      <c r="AE457" s="13"/>
      <c r="AF457" s="17"/>
      <c r="AH457" s="2"/>
      <c r="AL457" s="17"/>
      <c r="AM457" s="17"/>
      <c r="AN457" s="17"/>
      <c r="AO457" s="17"/>
      <c r="AP457" s="17"/>
      <c r="AQ457" s="17"/>
    </row>
    <row r="458" spans="24:43" x14ac:dyDescent="0.45">
      <c r="X458" s="2"/>
      <c r="Y458" s="2"/>
      <c r="AC458" s="13"/>
      <c r="AD458" s="13"/>
      <c r="AE458" s="13"/>
      <c r="AF458" s="17"/>
      <c r="AH458" s="2"/>
      <c r="AL458" s="17"/>
      <c r="AM458" s="17"/>
      <c r="AN458" s="17"/>
      <c r="AO458" s="17"/>
      <c r="AP458" s="17"/>
      <c r="AQ458" s="17"/>
    </row>
    <row r="459" spans="24:43" x14ac:dyDescent="0.45">
      <c r="X459" s="2"/>
      <c r="Y459" s="2"/>
      <c r="AC459" s="13"/>
      <c r="AD459" s="13"/>
      <c r="AE459" s="13"/>
      <c r="AF459" s="17"/>
      <c r="AH459" s="2"/>
      <c r="AL459" s="17"/>
      <c r="AM459" s="17"/>
      <c r="AN459" s="17"/>
      <c r="AO459" s="17"/>
      <c r="AP459" s="17"/>
      <c r="AQ459" s="17"/>
    </row>
    <row r="460" spans="24:43" x14ac:dyDescent="0.45">
      <c r="X460" s="2"/>
      <c r="Y460" s="2"/>
      <c r="AC460" s="13"/>
      <c r="AD460" s="13"/>
      <c r="AE460" s="13"/>
      <c r="AF460" s="17"/>
      <c r="AH460" s="2"/>
      <c r="AL460" s="17"/>
      <c r="AM460" s="17"/>
      <c r="AN460" s="17"/>
      <c r="AO460" s="17"/>
      <c r="AP460" s="17"/>
      <c r="AQ460" s="17"/>
    </row>
    <row r="461" spans="24:43" x14ac:dyDescent="0.45">
      <c r="X461" s="2"/>
      <c r="Y461" s="2"/>
      <c r="AC461" s="13"/>
      <c r="AD461" s="13"/>
      <c r="AE461" s="13"/>
      <c r="AF461" s="17"/>
      <c r="AH461" s="2"/>
      <c r="AL461" s="17"/>
      <c r="AM461" s="17"/>
      <c r="AN461" s="17"/>
      <c r="AO461" s="17"/>
      <c r="AP461" s="17"/>
      <c r="AQ461" s="17"/>
    </row>
    <row r="462" spans="24:43" x14ac:dyDescent="0.45">
      <c r="X462" s="2"/>
      <c r="Y462" s="2"/>
      <c r="AC462" s="13"/>
      <c r="AD462" s="13"/>
      <c r="AE462" s="13"/>
      <c r="AF462" s="17"/>
      <c r="AH462" s="2"/>
      <c r="AL462" s="17"/>
      <c r="AM462" s="17"/>
      <c r="AN462" s="17"/>
      <c r="AO462" s="17"/>
      <c r="AP462" s="17"/>
      <c r="AQ462" s="17"/>
    </row>
    <row r="463" spans="24:43" x14ac:dyDescent="0.45">
      <c r="X463" s="2"/>
      <c r="Y463" s="2"/>
      <c r="AC463" s="13"/>
      <c r="AD463" s="13"/>
      <c r="AE463" s="13"/>
      <c r="AF463" s="17"/>
      <c r="AH463" s="2"/>
      <c r="AL463" s="17"/>
      <c r="AM463" s="17"/>
      <c r="AN463" s="17"/>
      <c r="AO463" s="17"/>
      <c r="AP463" s="17"/>
      <c r="AQ463" s="17"/>
    </row>
    <row r="464" spans="24:43" x14ac:dyDescent="0.45">
      <c r="X464" s="2"/>
      <c r="Y464" s="2"/>
      <c r="AC464" s="13"/>
      <c r="AD464" s="13"/>
      <c r="AE464" s="13"/>
      <c r="AF464" s="17"/>
      <c r="AH464" s="2"/>
      <c r="AL464" s="17"/>
      <c r="AM464" s="17"/>
      <c r="AN464" s="17"/>
      <c r="AO464" s="17"/>
      <c r="AP464" s="17"/>
      <c r="AQ464" s="17"/>
    </row>
    <row r="465" spans="24:43" x14ac:dyDescent="0.45">
      <c r="X465" s="2"/>
      <c r="Y465" s="2"/>
      <c r="AC465" s="13"/>
      <c r="AD465" s="13"/>
      <c r="AE465" s="13"/>
      <c r="AF465" s="17"/>
      <c r="AH465" s="2"/>
      <c r="AL465" s="17"/>
      <c r="AM465" s="17"/>
      <c r="AN465" s="17"/>
      <c r="AO465" s="17"/>
      <c r="AP465" s="17"/>
      <c r="AQ465" s="17"/>
    </row>
    <row r="466" spans="24:43" x14ac:dyDescent="0.45">
      <c r="X466" s="2"/>
      <c r="Y466" s="2"/>
      <c r="AC466" s="13"/>
      <c r="AD466" s="13"/>
      <c r="AE466" s="13"/>
      <c r="AF466" s="17"/>
      <c r="AH466" s="2"/>
      <c r="AL466" s="17"/>
      <c r="AM466" s="17"/>
      <c r="AN466" s="17"/>
      <c r="AO466" s="17"/>
      <c r="AP466" s="17"/>
      <c r="AQ466" s="17"/>
    </row>
    <row r="467" spans="24:43" x14ac:dyDescent="0.45">
      <c r="X467" s="2"/>
      <c r="Y467" s="2"/>
      <c r="AC467" s="13"/>
      <c r="AD467" s="13"/>
      <c r="AE467" s="13"/>
      <c r="AF467" s="17"/>
      <c r="AH467" s="2"/>
      <c r="AL467" s="17"/>
      <c r="AM467" s="17"/>
      <c r="AN467" s="17"/>
      <c r="AO467" s="17"/>
      <c r="AP467" s="17"/>
      <c r="AQ467" s="17"/>
    </row>
    <row r="468" spans="24:43" x14ac:dyDescent="0.45">
      <c r="X468" s="2"/>
      <c r="Y468" s="2"/>
      <c r="AC468" s="13"/>
      <c r="AD468" s="13"/>
      <c r="AE468" s="13"/>
      <c r="AF468" s="17"/>
      <c r="AH468" s="2"/>
      <c r="AL468" s="17"/>
      <c r="AM468" s="17"/>
      <c r="AN468" s="17"/>
      <c r="AO468" s="17"/>
      <c r="AP468" s="17"/>
      <c r="AQ468" s="17"/>
    </row>
    <row r="469" spans="24:43" x14ac:dyDescent="0.45">
      <c r="X469" s="2"/>
      <c r="Y469" s="2"/>
      <c r="AC469" s="13"/>
      <c r="AD469" s="13"/>
      <c r="AE469" s="13"/>
      <c r="AF469" s="17"/>
      <c r="AH469" s="2"/>
      <c r="AL469" s="17"/>
      <c r="AM469" s="17"/>
      <c r="AN469" s="17"/>
      <c r="AO469" s="17"/>
      <c r="AP469" s="17"/>
      <c r="AQ469" s="17"/>
    </row>
    <row r="470" spans="24:43" x14ac:dyDescent="0.45">
      <c r="X470" s="2"/>
      <c r="Y470" s="2"/>
      <c r="AC470" s="13"/>
      <c r="AD470" s="13"/>
      <c r="AE470" s="13"/>
      <c r="AF470" s="17"/>
      <c r="AH470" s="2"/>
      <c r="AL470" s="17"/>
      <c r="AM470" s="17"/>
      <c r="AN470" s="17"/>
      <c r="AO470" s="17"/>
      <c r="AP470" s="17"/>
      <c r="AQ470" s="17"/>
    </row>
    <row r="471" spans="24:43" x14ac:dyDescent="0.45">
      <c r="X471" s="2"/>
      <c r="Y471" s="2"/>
      <c r="AC471" s="13"/>
      <c r="AD471" s="13"/>
      <c r="AE471" s="13"/>
      <c r="AF471" s="17"/>
      <c r="AH471" s="2"/>
      <c r="AL471" s="17"/>
      <c r="AM471" s="17"/>
      <c r="AN471" s="17"/>
      <c r="AO471" s="17"/>
      <c r="AP471" s="17"/>
      <c r="AQ471" s="17"/>
    </row>
    <row r="472" spans="24:43" x14ac:dyDescent="0.45">
      <c r="X472" s="2"/>
      <c r="Y472" s="2"/>
      <c r="AC472" s="13"/>
      <c r="AD472" s="13"/>
      <c r="AE472" s="13"/>
      <c r="AF472" s="17"/>
      <c r="AH472" s="2"/>
      <c r="AL472" s="17"/>
      <c r="AM472" s="17"/>
      <c r="AN472" s="17"/>
      <c r="AO472" s="17"/>
      <c r="AP472" s="17"/>
      <c r="AQ472" s="17"/>
    </row>
    <row r="473" spans="24:43" x14ac:dyDescent="0.45">
      <c r="X473" s="2"/>
      <c r="Y473" s="2"/>
      <c r="AC473" s="13"/>
      <c r="AD473" s="13"/>
      <c r="AE473" s="13"/>
      <c r="AF473" s="17"/>
      <c r="AH473" s="2"/>
      <c r="AL473" s="17"/>
      <c r="AM473" s="17"/>
      <c r="AN473" s="17"/>
      <c r="AO473" s="17"/>
      <c r="AP473" s="17"/>
      <c r="AQ473" s="17"/>
    </row>
    <row r="474" spans="24:43" x14ac:dyDescent="0.45">
      <c r="X474" s="2"/>
      <c r="Y474" s="2"/>
      <c r="AC474" s="13"/>
      <c r="AD474" s="13"/>
      <c r="AE474" s="13"/>
      <c r="AF474" s="17"/>
      <c r="AH474" s="2"/>
      <c r="AL474" s="17"/>
      <c r="AM474" s="17"/>
      <c r="AN474" s="17"/>
      <c r="AO474" s="17"/>
      <c r="AP474" s="17"/>
      <c r="AQ474" s="17"/>
    </row>
    <row r="475" spans="24:43" x14ac:dyDescent="0.45">
      <c r="X475" s="2"/>
      <c r="Y475" s="2"/>
      <c r="AC475" s="13"/>
      <c r="AD475" s="13"/>
      <c r="AE475" s="13"/>
      <c r="AF475" s="17"/>
      <c r="AH475" s="2"/>
      <c r="AL475" s="17"/>
      <c r="AM475" s="17"/>
      <c r="AN475" s="17"/>
      <c r="AO475" s="17"/>
      <c r="AP475" s="17"/>
      <c r="AQ475" s="17"/>
    </row>
    <row r="476" spans="24:43" x14ac:dyDescent="0.45">
      <c r="X476" s="2"/>
      <c r="Y476" s="2"/>
      <c r="AC476" s="13"/>
      <c r="AD476" s="13"/>
      <c r="AE476" s="13"/>
      <c r="AF476" s="17"/>
      <c r="AH476" s="2"/>
      <c r="AL476" s="17"/>
      <c r="AM476" s="17"/>
      <c r="AN476" s="17"/>
      <c r="AO476" s="17"/>
      <c r="AP476" s="17"/>
      <c r="AQ476" s="17"/>
    </row>
    <row r="477" spans="24:43" x14ac:dyDescent="0.45">
      <c r="X477" s="2"/>
      <c r="Y477" s="2"/>
      <c r="AC477" s="13"/>
      <c r="AD477" s="13"/>
      <c r="AE477" s="13"/>
      <c r="AF477" s="17"/>
      <c r="AH477" s="2"/>
      <c r="AL477" s="17"/>
      <c r="AM477" s="17"/>
      <c r="AN477" s="17"/>
      <c r="AO477" s="17"/>
      <c r="AP477" s="17"/>
      <c r="AQ477" s="17"/>
    </row>
    <row r="478" spans="24:43" x14ac:dyDescent="0.45">
      <c r="X478" s="2"/>
      <c r="Y478" s="2"/>
      <c r="AC478" s="13"/>
      <c r="AD478" s="13"/>
      <c r="AE478" s="13"/>
      <c r="AF478" s="17"/>
      <c r="AH478" s="2"/>
      <c r="AL478" s="17"/>
      <c r="AM478" s="17"/>
      <c r="AN478" s="17"/>
      <c r="AO478" s="17"/>
      <c r="AP478" s="17"/>
      <c r="AQ478" s="17"/>
    </row>
    <row r="479" spans="24:43" x14ac:dyDescent="0.45">
      <c r="X479" s="2"/>
      <c r="Y479" s="2"/>
      <c r="AC479" s="13"/>
      <c r="AD479" s="13"/>
      <c r="AE479" s="13"/>
      <c r="AF479" s="17"/>
      <c r="AH479" s="2"/>
      <c r="AL479" s="17"/>
      <c r="AM479" s="17"/>
      <c r="AN479" s="17"/>
      <c r="AO479" s="17"/>
      <c r="AP479" s="17"/>
      <c r="AQ479" s="17"/>
    </row>
    <row r="480" spans="24:43" x14ac:dyDescent="0.45">
      <c r="X480" s="2"/>
      <c r="Y480" s="2"/>
      <c r="AC480" s="13"/>
      <c r="AD480" s="13"/>
      <c r="AE480" s="13"/>
      <c r="AF480" s="17"/>
      <c r="AH480" s="2"/>
      <c r="AL480" s="17"/>
      <c r="AM480" s="17"/>
      <c r="AN480" s="17"/>
      <c r="AO480" s="17"/>
      <c r="AP480" s="17"/>
      <c r="AQ480" s="17"/>
    </row>
    <row r="481" spans="24:43" x14ac:dyDescent="0.45">
      <c r="X481" s="2"/>
      <c r="Y481" s="2"/>
      <c r="AC481" s="13"/>
      <c r="AD481" s="13"/>
      <c r="AE481" s="13"/>
      <c r="AF481" s="17"/>
      <c r="AH481" s="2"/>
      <c r="AL481" s="17"/>
      <c r="AM481" s="17"/>
      <c r="AN481" s="17"/>
      <c r="AO481" s="17"/>
      <c r="AP481" s="17"/>
      <c r="AQ481" s="17"/>
    </row>
    <row r="482" spans="24:43" x14ac:dyDescent="0.45">
      <c r="X482" s="2"/>
      <c r="Y482" s="2"/>
      <c r="AC482" s="13"/>
      <c r="AD482" s="13"/>
      <c r="AE482" s="13"/>
      <c r="AF482" s="17"/>
      <c r="AH482" s="2"/>
      <c r="AL482" s="17"/>
      <c r="AM482" s="17"/>
      <c r="AN482" s="17"/>
      <c r="AO482" s="17"/>
      <c r="AP482" s="17"/>
      <c r="AQ482" s="17"/>
    </row>
    <row r="483" spans="24:43" x14ac:dyDescent="0.45">
      <c r="X483" s="2"/>
      <c r="Y483" s="2"/>
      <c r="AC483" s="13"/>
      <c r="AD483" s="13"/>
      <c r="AE483" s="13"/>
      <c r="AF483" s="17"/>
      <c r="AH483" s="2"/>
      <c r="AL483" s="17"/>
      <c r="AM483" s="17"/>
      <c r="AN483" s="17"/>
      <c r="AO483" s="17"/>
      <c r="AP483" s="17"/>
      <c r="AQ483" s="17"/>
    </row>
    <row r="484" spans="24:43" x14ac:dyDescent="0.45">
      <c r="X484" s="2"/>
      <c r="Y484" s="2"/>
      <c r="AC484" s="13"/>
      <c r="AD484" s="13"/>
      <c r="AE484" s="13"/>
      <c r="AF484" s="17"/>
      <c r="AH484" s="2"/>
      <c r="AL484" s="17"/>
      <c r="AM484" s="17"/>
      <c r="AN484" s="17"/>
      <c r="AO484" s="17"/>
      <c r="AP484" s="17"/>
      <c r="AQ484" s="17"/>
    </row>
    <row r="485" spans="24:43" x14ac:dyDescent="0.45">
      <c r="X485" s="2"/>
      <c r="Y485" s="2"/>
      <c r="AC485" s="13"/>
      <c r="AD485" s="13"/>
      <c r="AE485" s="13"/>
      <c r="AF485" s="17"/>
      <c r="AH485" s="2"/>
      <c r="AL485" s="17"/>
      <c r="AM485" s="17"/>
      <c r="AN485" s="17"/>
      <c r="AO485" s="17"/>
      <c r="AP485" s="17"/>
      <c r="AQ485" s="17"/>
    </row>
    <row r="486" spans="24:43" x14ac:dyDescent="0.45">
      <c r="X486" s="2"/>
      <c r="Y486" s="2"/>
      <c r="AC486" s="13"/>
      <c r="AD486" s="13"/>
      <c r="AE486" s="13"/>
      <c r="AF486" s="17"/>
      <c r="AH486" s="2"/>
      <c r="AL486" s="17"/>
      <c r="AM486" s="17"/>
      <c r="AN486" s="17"/>
      <c r="AO486" s="17"/>
      <c r="AP486" s="17"/>
      <c r="AQ486" s="17"/>
    </row>
    <row r="487" spans="24:43" x14ac:dyDescent="0.45">
      <c r="X487" s="2"/>
      <c r="Y487" s="2"/>
      <c r="AC487" s="13"/>
      <c r="AD487" s="13"/>
      <c r="AE487" s="13"/>
      <c r="AF487" s="17"/>
      <c r="AH487" s="2"/>
      <c r="AL487" s="17"/>
      <c r="AM487" s="17"/>
      <c r="AN487" s="17"/>
      <c r="AO487" s="17"/>
      <c r="AP487" s="17"/>
      <c r="AQ487" s="17"/>
    </row>
    <row r="488" spans="24:43" x14ac:dyDescent="0.45">
      <c r="X488" s="2"/>
      <c r="Y488" s="2"/>
      <c r="AC488" s="13"/>
      <c r="AD488" s="13"/>
      <c r="AE488" s="13"/>
      <c r="AF488" s="17"/>
      <c r="AH488" s="2"/>
      <c r="AL488" s="17"/>
      <c r="AM488" s="17"/>
      <c r="AN488" s="17"/>
      <c r="AO488" s="17"/>
      <c r="AP488" s="17"/>
      <c r="AQ488" s="17"/>
    </row>
    <row r="489" spans="24:43" x14ac:dyDescent="0.45">
      <c r="X489" s="2"/>
      <c r="Y489" s="2"/>
      <c r="AC489" s="13"/>
      <c r="AD489" s="13"/>
      <c r="AE489" s="13"/>
      <c r="AF489" s="17"/>
      <c r="AH489" s="2"/>
      <c r="AL489" s="17"/>
      <c r="AM489" s="17"/>
      <c r="AN489" s="17"/>
      <c r="AO489" s="17"/>
      <c r="AP489" s="17"/>
      <c r="AQ489" s="17"/>
    </row>
    <row r="490" spans="24:43" x14ac:dyDescent="0.45">
      <c r="X490" s="2"/>
      <c r="Y490" s="2"/>
      <c r="AC490" s="13"/>
      <c r="AD490" s="13"/>
      <c r="AE490" s="13"/>
      <c r="AF490" s="17"/>
      <c r="AH490" s="2"/>
      <c r="AL490" s="17"/>
      <c r="AM490" s="17"/>
      <c r="AN490" s="17"/>
      <c r="AO490" s="17"/>
      <c r="AP490" s="17"/>
      <c r="AQ490" s="17"/>
    </row>
    <row r="491" spans="24:43" x14ac:dyDescent="0.45">
      <c r="X491" s="2"/>
      <c r="Y491" s="2"/>
      <c r="AC491" s="13"/>
      <c r="AD491" s="13"/>
      <c r="AE491" s="13"/>
      <c r="AF491" s="17"/>
      <c r="AH491" s="2"/>
      <c r="AL491" s="17"/>
      <c r="AM491" s="17"/>
      <c r="AN491" s="17"/>
      <c r="AO491" s="17"/>
      <c r="AP491" s="17"/>
      <c r="AQ491" s="17"/>
    </row>
    <row r="492" spans="24:43" x14ac:dyDescent="0.45">
      <c r="X492" s="2"/>
      <c r="Y492" s="2"/>
      <c r="AC492" s="13"/>
      <c r="AD492" s="13"/>
      <c r="AE492" s="13"/>
      <c r="AF492" s="17"/>
      <c r="AH492" s="2"/>
      <c r="AL492" s="17"/>
      <c r="AM492" s="17"/>
      <c r="AN492" s="17"/>
      <c r="AO492" s="17"/>
      <c r="AP492" s="17"/>
      <c r="AQ492" s="17"/>
    </row>
    <row r="493" spans="24:43" x14ac:dyDescent="0.45">
      <c r="X493" s="2"/>
      <c r="Y493" s="2"/>
      <c r="AC493" s="13"/>
      <c r="AD493" s="13"/>
      <c r="AE493" s="13"/>
      <c r="AF493" s="17"/>
      <c r="AH493" s="2"/>
      <c r="AL493" s="17"/>
      <c r="AM493" s="17"/>
      <c r="AN493" s="17"/>
      <c r="AO493" s="17"/>
      <c r="AP493" s="17"/>
      <c r="AQ493" s="17"/>
    </row>
    <row r="494" spans="24:43" x14ac:dyDescent="0.45">
      <c r="X494" s="2"/>
      <c r="Y494" s="2"/>
      <c r="AC494" s="13"/>
      <c r="AD494" s="13"/>
      <c r="AE494" s="13"/>
      <c r="AF494" s="17"/>
      <c r="AH494" s="2"/>
      <c r="AL494" s="17"/>
      <c r="AM494" s="17"/>
      <c r="AN494" s="17"/>
      <c r="AO494" s="17"/>
      <c r="AP494" s="17"/>
      <c r="AQ494" s="17"/>
    </row>
    <row r="495" spans="24:43" x14ac:dyDescent="0.45">
      <c r="X495" s="2"/>
      <c r="Y495" s="2"/>
      <c r="AC495" s="13"/>
      <c r="AD495" s="13"/>
      <c r="AE495" s="13"/>
      <c r="AF495" s="17"/>
      <c r="AH495" s="2"/>
      <c r="AL495" s="17"/>
      <c r="AM495" s="17"/>
      <c r="AN495" s="17"/>
      <c r="AO495" s="17"/>
      <c r="AP495" s="17"/>
      <c r="AQ495" s="17"/>
    </row>
    <row r="496" spans="24:43" x14ac:dyDescent="0.45">
      <c r="X496" s="2"/>
      <c r="Y496" s="2"/>
      <c r="AC496" s="13"/>
      <c r="AD496" s="13"/>
      <c r="AE496" s="13"/>
      <c r="AF496" s="17"/>
      <c r="AH496" s="2"/>
      <c r="AL496" s="17"/>
      <c r="AM496" s="17"/>
      <c r="AN496" s="17"/>
      <c r="AO496" s="17"/>
      <c r="AP496" s="17"/>
      <c r="AQ496" s="17"/>
    </row>
    <row r="497" spans="24:43" x14ac:dyDescent="0.45">
      <c r="X497" s="2"/>
      <c r="Y497" s="2"/>
      <c r="AC497" s="13"/>
      <c r="AD497" s="13"/>
      <c r="AE497" s="13"/>
      <c r="AF497" s="17"/>
      <c r="AH497" s="2"/>
      <c r="AL497" s="17"/>
      <c r="AM497" s="17"/>
      <c r="AN497" s="17"/>
      <c r="AO497" s="17"/>
      <c r="AP497" s="17"/>
      <c r="AQ497" s="17"/>
    </row>
    <row r="498" spans="24:43" x14ac:dyDescent="0.45">
      <c r="X498" s="2"/>
      <c r="Y498" s="2"/>
      <c r="AC498" s="13"/>
      <c r="AD498" s="13"/>
      <c r="AE498" s="13"/>
      <c r="AF498" s="17"/>
      <c r="AH498" s="2"/>
      <c r="AL498" s="17"/>
      <c r="AM498" s="17"/>
      <c r="AN498" s="17"/>
      <c r="AO498" s="17"/>
      <c r="AP498" s="17"/>
      <c r="AQ498" s="17"/>
    </row>
    <row r="499" spans="24:43" x14ac:dyDescent="0.45">
      <c r="X499" s="2"/>
      <c r="Y499" s="2"/>
      <c r="AC499" s="13"/>
      <c r="AD499" s="13"/>
      <c r="AE499" s="13"/>
      <c r="AF499" s="17"/>
      <c r="AH499" s="2"/>
      <c r="AL499" s="17"/>
      <c r="AM499" s="17"/>
      <c r="AN499" s="17"/>
      <c r="AO499" s="17"/>
      <c r="AP499" s="17"/>
      <c r="AQ499" s="17"/>
    </row>
    <row r="500" spans="24:43" x14ac:dyDescent="0.45">
      <c r="X500" s="2"/>
      <c r="Y500" s="2"/>
      <c r="AC500" s="13"/>
      <c r="AD500" s="13"/>
      <c r="AE500" s="13"/>
      <c r="AF500" s="17"/>
      <c r="AH500" s="2"/>
      <c r="AL500" s="17"/>
      <c r="AM500" s="17"/>
      <c r="AN500" s="17"/>
      <c r="AO500" s="17"/>
      <c r="AP500" s="17"/>
      <c r="AQ500" s="17"/>
    </row>
    <row r="501" spans="24:43" x14ac:dyDescent="0.45">
      <c r="X501" s="2"/>
      <c r="Y501" s="2"/>
      <c r="AC501" s="13"/>
      <c r="AD501" s="13"/>
      <c r="AE501" s="13"/>
      <c r="AF501" s="17"/>
      <c r="AH501" s="2"/>
      <c r="AL501" s="17"/>
      <c r="AM501" s="17"/>
      <c r="AN501" s="17"/>
      <c r="AO501" s="17"/>
      <c r="AP501" s="17"/>
      <c r="AQ501" s="17"/>
    </row>
    <row r="502" spans="24:43" x14ac:dyDescent="0.45">
      <c r="X502" s="2"/>
      <c r="Y502" s="2"/>
      <c r="AC502" s="13"/>
      <c r="AD502" s="13"/>
      <c r="AE502" s="13"/>
      <c r="AF502" s="17"/>
      <c r="AH502" s="2"/>
      <c r="AL502" s="17"/>
      <c r="AM502" s="17"/>
      <c r="AN502" s="17"/>
      <c r="AO502" s="17"/>
      <c r="AP502" s="17"/>
      <c r="AQ502" s="17"/>
    </row>
    <row r="503" spans="24:43" x14ac:dyDescent="0.45">
      <c r="X503" s="2"/>
      <c r="Y503" s="2"/>
      <c r="AC503" s="13"/>
      <c r="AD503" s="13"/>
      <c r="AE503" s="13"/>
      <c r="AF503" s="17"/>
      <c r="AH503" s="2"/>
      <c r="AL503" s="17"/>
      <c r="AM503" s="17"/>
      <c r="AN503" s="17"/>
      <c r="AO503" s="17"/>
      <c r="AP503" s="17"/>
      <c r="AQ503" s="17"/>
    </row>
    <row r="504" spans="24:43" x14ac:dyDescent="0.45">
      <c r="X504" s="2"/>
      <c r="Y504" s="2"/>
      <c r="AC504" s="13"/>
      <c r="AD504" s="13"/>
      <c r="AE504" s="13"/>
      <c r="AF504" s="17"/>
      <c r="AH504" s="2"/>
      <c r="AL504" s="17"/>
      <c r="AM504" s="17"/>
      <c r="AN504" s="17"/>
      <c r="AO504" s="17"/>
      <c r="AP504" s="17"/>
      <c r="AQ504" s="17"/>
    </row>
    <row r="505" spans="24:43" x14ac:dyDescent="0.45">
      <c r="X505" s="2"/>
      <c r="Y505" s="2"/>
      <c r="AC505" s="13"/>
      <c r="AD505" s="13"/>
      <c r="AE505" s="13"/>
      <c r="AF505" s="17"/>
      <c r="AH505" s="2"/>
      <c r="AL505" s="17"/>
      <c r="AM505" s="17"/>
      <c r="AN505" s="17"/>
      <c r="AO505" s="17"/>
      <c r="AP505" s="17"/>
      <c r="AQ505" s="17"/>
    </row>
    <row r="506" spans="24:43" x14ac:dyDescent="0.45">
      <c r="X506" s="2"/>
      <c r="Y506" s="2"/>
      <c r="AC506" s="13"/>
      <c r="AD506" s="13"/>
      <c r="AE506" s="13"/>
      <c r="AF506" s="17"/>
      <c r="AH506" s="2"/>
      <c r="AL506" s="17"/>
      <c r="AM506" s="17"/>
      <c r="AN506" s="17"/>
      <c r="AO506" s="17"/>
      <c r="AP506" s="17"/>
      <c r="AQ506" s="17"/>
    </row>
    <row r="507" spans="24:43" x14ac:dyDescent="0.45">
      <c r="X507" s="2"/>
      <c r="Y507" s="2"/>
      <c r="AC507" s="13"/>
      <c r="AD507" s="13"/>
      <c r="AE507" s="13"/>
      <c r="AF507" s="17"/>
      <c r="AH507" s="2"/>
      <c r="AL507" s="17"/>
      <c r="AM507" s="17"/>
      <c r="AN507" s="17"/>
      <c r="AO507" s="17"/>
      <c r="AP507" s="17"/>
      <c r="AQ507" s="17"/>
    </row>
    <row r="508" spans="24:43" x14ac:dyDescent="0.45">
      <c r="X508" s="2"/>
      <c r="Y508" s="2"/>
      <c r="AC508" s="13"/>
      <c r="AD508" s="13"/>
      <c r="AE508" s="13"/>
      <c r="AF508" s="17"/>
      <c r="AH508" s="2"/>
      <c r="AL508" s="17"/>
      <c r="AM508" s="17"/>
      <c r="AN508" s="17"/>
      <c r="AO508" s="17"/>
      <c r="AP508" s="17"/>
      <c r="AQ508" s="17"/>
    </row>
    <row r="509" spans="24:43" x14ac:dyDescent="0.45">
      <c r="X509" s="2"/>
      <c r="Y509" s="2"/>
      <c r="AC509" s="13"/>
      <c r="AD509" s="13"/>
      <c r="AE509" s="13"/>
      <c r="AF509" s="17"/>
      <c r="AH509" s="2"/>
      <c r="AL509" s="17"/>
      <c r="AM509" s="17"/>
      <c r="AN509" s="17"/>
      <c r="AO509" s="17"/>
      <c r="AP509" s="17"/>
      <c r="AQ509" s="17"/>
    </row>
    <row r="510" spans="24:43" x14ac:dyDescent="0.45">
      <c r="X510" s="2"/>
      <c r="Y510" s="2"/>
      <c r="AC510" s="13"/>
      <c r="AD510" s="13"/>
      <c r="AE510" s="13"/>
      <c r="AF510" s="17"/>
      <c r="AH510" s="2"/>
      <c r="AL510" s="17"/>
      <c r="AM510" s="17"/>
      <c r="AN510" s="17"/>
      <c r="AO510" s="17"/>
      <c r="AP510" s="17"/>
      <c r="AQ510" s="17"/>
    </row>
    <row r="511" spans="24:43" x14ac:dyDescent="0.45">
      <c r="X511" s="2"/>
      <c r="Y511" s="2"/>
      <c r="AC511" s="13"/>
      <c r="AD511" s="13"/>
      <c r="AE511" s="13"/>
      <c r="AF511" s="17"/>
      <c r="AH511" s="2"/>
      <c r="AL511" s="17"/>
      <c r="AM511" s="17"/>
      <c r="AN511" s="17"/>
      <c r="AO511" s="17"/>
      <c r="AP511" s="17"/>
      <c r="AQ511" s="17"/>
    </row>
    <row r="512" spans="24:43" x14ac:dyDescent="0.45">
      <c r="X512" s="2"/>
      <c r="Y512" s="2"/>
      <c r="AC512" s="13"/>
      <c r="AD512" s="13"/>
      <c r="AE512" s="13"/>
      <c r="AF512" s="17"/>
      <c r="AH512" s="2"/>
      <c r="AL512" s="17"/>
      <c r="AM512" s="17"/>
      <c r="AN512" s="17"/>
      <c r="AO512" s="17"/>
      <c r="AP512" s="17"/>
      <c r="AQ512" s="17"/>
    </row>
    <row r="513" spans="24:43" x14ac:dyDescent="0.45">
      <c r="X513" s="2"/>
      <c r="Y513" s="2"/>
      <c r="AC513" s="13"/>
      <c r="AD513" s="13"/>
      <c r="AE513" s="13"/>
      <c r="AF513" s="17"/>
      <c r="AH513" s="2"/>
      <c r="AL513" s="17"/>
      <c r="AM513" s="17"/>
      <c r="AN513" s="17"/>
      <c r="AO513" s="17"/>
      <c r="AP513" s="17"/>
      <c r="AQ513" s="17"/>
    </row>
    <row r="514" spans="24:43" x14ac:dyDescent="0.45">
      <c r="X514" s="2"/>
      <c r="Y514" s="2"/>
      <c r="AC514" s="13"/>
      <c r="AD514" s="13"/>
      <c r="AE514" s="13"/>
      <c r="AF514" s="17"/>
      <c r="AH514" s="2"/>
      <c r="AL514" s="17"/>
      <c r="AM514" s="17"/>
      <c r="AN514" s="17"/>
      <c r="AO514" s="17"/>
      <c r="AP514" s="17"/>
      <c r="AQ514" s="17"/>
    </row>
    <row r="515" spans="24:43" x14ac:dyDescent="0.45">
      <c r="X515" s="2"/>
      <c r="Y515" s="2"/>
      <c r="AC515" s="13"/>
      <c r="AD515" s="13"/>
      <c r="AE515" s="13"/>
      <c r="AF515" s="17"/>
      <c r="AH515" s="2"/>
      <c r="AL515" s="17"/>
      <c r="AM515" s="17"/>
      <c r="AN515" s="17"/>
      <c r="AO515" s="17"/>
      <c r="AP515" s="17"/>
      <c r="AQ515" s="17"/>
    </row>
    <row r="516" spans="24:43" x14ac:dyDescent="0.45">
      <c r="X516" s="2"/>
      <c r="Y516" s="2"/>
      <c r="AC516" s="13"/>
      <c r="AD516" s="13"/>
      <c r="AE516" s="13"/>
      <c r="AF516" s="17"/>
      <c r="AH516" s="2"/>
      <c r="AL516" s="17"/>
      <c r="AM516" s="17"/>
      <c r="AN516" s="17"/>
      <c r="AO516" s="17"/>
      <c r="AP516" s="17"/>
      <c r="AQ516" s="17"/>
    </row>
    <row r="517" spans="24:43" x14ac:dyDescent="0.45">
      <c r="X517" s="2"/>
      <c r="Y517" s="2"/>
      <c r="AC517" s="13"/>
      <c r="AD517" s="13"/>
      <c r="AE517" s="13"/>
      <c r="AF517" s="17"/>
      <c r="AH517" s="2"/>
      <c r="AL517" s="17"/>
      <c r="AM517" s="17"/>
      <c r="AN517" s="17"/>
      <c r="AO517" s="17"/>
      <c r="AP517" s="17"/>
      <c r="AQ517" s="17"/>
    </row>
    <row r="518" spans="24:43" x14ac:dyDescent="0.45">
      <c r="X518" s="2"/>
      <c r="Y518" s="2"/>
      <c r="AC518" s="13"/>
      <c r="AD518" s="13"/>
      <c r="AE518" s="13"/>
      <c r="AF518" s="17"/>
      <c r="AH518" s="2"/>
      <c r="AL518" s="17"/>
      <c r="AM518" s="17"/>
      <c r="AN518" s="17"/>
      <c r="AO518" s="17"/>
      <c r="AP518" s="17"/>
      <c r="AQ518" s="17"/>
    </row>
    <row r="519" spans="24:43" x14ac:dyDescent="0.45">
      <c r="X519" s="2"/>
      <c r="Y519" s="2"/>
      <c r="AC519" s="13"/>
      <c r="AD519" s="13"/>
      <c r="AE519" s="13"/>
      <c r="AF519" s="17"/>
      <c r="AH519" s="2"/>
      <c r="AL519" s="17"/>
      <c r="AM519" s="17"/>
      <c r="AN519" s="17"/>
      <c r="AO519" s="17"/>
      <c r="AP519" s="17"/>
      <c r="AQ519" s="17"/>
    </row>
    <row r="520" spans="24:43" x14ac:dyDescent="0.45">
      <c r="X520" s="2"/>
      <c r="Y520" s="2"/>
      <c r="AC520" s="13"/>
      <c r="AD520" s="13"/>
      <c r="AE520" s="13"/>
      <c r="AF520" s="17"/>
      <c r="AH520" s="2"/>
      <c r="AL520" s="17"/>
      <c r="AM520" s="17"/>
      <c r="AN520" s="17"/>
      <c r="AO520" s="17"/>
      <c r="AP520" s="17"/>
      <c r="AQ520" s="17"/>
    </row>
    <row r="521" spans="24:43" x14ac:dyDescent="0.45">
      <c r="X521" s="2"/>
      <c r="Y521" s="2"/>
      <c r="AC521" s="13"/>
      <c r="AD521" s="13"/>
      <c r="AE521" s="13"/>
      <c r="AF521" s="17"/>
      <c r="AH521" s="2"/>
      <c r="AL521" s="17"/>
      <c r="AM521" s="17"/>
      <c r="AN521" s="17"/>
      <c r="AO521" s="17"/>
      <c r="AP521" s="17"/>
      <c r="AQ521" s="17"/>
    </row>
    <row r="522" spans="24:43" x14ac:dyDescent="0.45">
      <c r="X522" s="2"/>
      <c r="Y522" s="2"/>
      <c r="AC522" s="13"/>
      <c r="AD522" s="13"/>
      <c r="AE522" s="13"/>
      <c r="AF522" s="17"/>
      <c r="AH522" s="2"/>
      <c r="AL522" s="17"/>
      <c r="AM522" s="17"/>
      <c r="AN522" s="17"/>
      <c r="AO522" s="17"/>
      <c r="AP522" s="17"/>
      <c r="AQ522" s="17"/>
    </row>
    <row r="523" spans="24:43" x14ac:dyDescent="0.45">
      <c r="X523" s="2"/>
      <c r="Y523" s="2"/>
      <c r="AC523" s="13"/>
      <c r="AD523" s="13"/>
      <c r="AE523" s="13"/>
      <c r="AF523" s="17"/>
      <c r="AH523" s="2"/>
      <c r="AL523" s="17"/>
      <c r="AM523" s="17"/>
      <c r="AN523" s="17"/>
      <c r="AO523" s="17"/>
      <c r="AP523" s="17"/>
      <c r="AQ523" s="17"/>
    </row>
    <row r="524" spans="24:43" x14ac:dyDescent="0.45">
      <c r="X524" s="2"/>
      <c r="Y524" s="2"/>
      <c r="AC524" s="13"/>
      <c r="AD524" s="13"/>
      <c r="AE524" s="13"/>
      <c r="AF524" s="17"/>
      <c r="AH524" s="2"/>
      <c r="AL524" s="17"/>
      <c r="AM524" s="17"/>
      <c r="AN524" s="17"/>
      <c r="AO524" s="17"/>
      <c r="AP524" s="17"/>
      <c r="AQ524" s="17"/>
    </row>
    <row r="525" spans="24:43" x14ac:dyDescent="0.45">
      <c r="X525" s="2"/>
      <c r="Y525" s="2"/>
      <c r="AC525" s="13"/>
      <c r="AD525" s="13"/>
      <c r="AE525" s="13"/>
      <c r="AF525" s="17"/>
      <c r="AH525" s="2"/>
      <c r="AL525" s="17"/>
      <c r="AM525" s="17"/>
      <c r="AN525" s="17"/>
      <c r="AO525" s="17"/>
      <c r="AP525" s="17"/>
      <c r="AQ525" s="17"/>
    </row>
    <row r="526" spans="24:43" x14ac:dyDescent="0.45">
      <c r="X526" s="2"/>
      <c r="Y526" s="2"/>
      <c r="AC526" s="13"/>
      <c r="AD526" s="13"/>
      <c r="AE526" s="13"/>
      <c r="AF526" s="17"/>
      <c r="AH526" s="2"/>
      <c r="AL526" s="17"/>
      <c r="AM526" s="17"/>
      <c r="AN526" s="17"/>
      <c r="AO526" s="17"/>
      <c r="AP526" s="17"/>
      <c r="AQ526" s="17"/>
    </row>
    <row r="527" spans="24:43" x14ac:dyDescent="0.45">
      <c r="X527" s="2"/>
      <c r="Y527" s="2"/>
      <c r="AC527" s="13"/>
      <c r="AD527" s="13"/>
      <c r="AE527" s="13"/>
      <c r="AF527" s="17"/>
      <c r="AH527" s="2"/>
      <c r="AL527" s="17"/>
      <c r="AM527" s="17"/>
      <c r="AN527" s="17"/>
      <c r="AO527" s="17"/>
      <c r="AP527" s="17"/>
      <c r="AQ527" s="17"/>
    </row>
    <row r="528" spans="24:43" x14ac:dyDescent="0.45">
      <c r="X528" s="2"/>
      <c r="Y528" s="2"/>
      <c r="AC528" s="13"/>
      <c r="AD528" s="13"/>
      <c r="AE528" s="13"/>
      <c r="AF528" s="17"/>
      <c r="AH528" s="2"/>
      <c r="AL528" s="17"/>
      <c r="AM528" s="17"/>
      <c r="AN528" s="17"/>
      <c r="AO528" s="17"/>
      <c r="AP528" s="17"/>
      <c r="AQ528" s="17"/>
    </row>
    <row r="529" spans="24:43" x14ac:dyDescent="0.45">
      <c r="X529" s="2"/>
      <c r="Y529" s="2"/>
      <c r="AC529" s="13"/>
      <c r="AD529" s="13"/>
      <c r="AE529" s="13"/>
      <c r="AF529" s="17"/>
      <c r="AH529" s="2"/>
      <c r="AL529" s="17"/>
      <c r="AM529" s="17"/>
      <c r="AN529" s="17"/>
      <c r="AO529" s="17"/>
      <c r="AP529" s="17"/>
      <c r="AQ529" s="17"/>
    </row>
    <row r="530" spans="24:43" x14ac:dyDescent="0.45">
      <c r="X530" s="2"/>
      <c r="Y530" s="2"/>
      <c r="AC530" s="13"/>
      <c r="AD530" s="13"/>
      <c r="AE530" s="13"/>
      <c r="AF530" s="17"/>
      <c r="AH530" s="2"/>
      <c r="AL530" s="17"/>
      <c r="AM530" s="17"/>
      <c r="AN530" s="17"/>
      <c r="AO530" s="17"/>
      <c r="AP530" s="17"/>
      <c r="AQ530" s="17"/>
    </row>
    <row r="531" spans="24:43" x14ac:dyDescent="0.45">
      <c r="X531" s="2"/>
      <c r="Y531" s="2"/>
      <c r="AC531" s="13"/>
      <c r="AD531" s="13"/>
      <c r="AE531" s="13"/>
      <c r="AF531" s="17"/>
      <c r="AH531" s="2"/>
      <c r="AL531" s="17"/>
      <c r="AM531" s="17"/>
      <c r="AN531" s="17"/>
      <c r="AO531" s="17"/>
      <c r="AP531" s="17"/>
      <c r="AQ531" s="17"/>
    </row>
    <row r="532" spans="24:43" x14ac:dyDescent="0.45">
      <c r="X532" s="2"/>
      <c r="Y532" s="2"/>
      <c r="AC532" s="13"/>
      <c r="AD532" s="13"/>
      <c r="AE532" s="13"/>
      <c r="AF532" s="17"/>
      <c r="AH532" s="2"/>
      <c r="AL532" s="17"/>
      <c r="AM532" s="17"/>
      <c r="AN532" s="17"/>
      <c r="AO532" s="17"/>
      <c r="AP532" s="17"/>
      <c r="AQ532" s="17"/>
    </row>
    <row r="533" spans="24:43" x14ac:dyDescent="0.45">
      <c r="X533" s="2"/>
      <c r="Y533" s="2"/>
      <c r="AC533" s="13"/>
      <c r="AD533" s="13"/>
      <c r="AE533" s="13"/>
      <c r="AF533" s="17"/>
      <c r="AH533" s="2"/>
      <c r="AL533" s="17"/>
      <c r="AM533" s="17"/>
      <c r="AN533" s="17"/>
      <c r="AO533" s="17"/>
      <c r="AP533" s="17"/>
      <c r="AQ533" s="17"/>
    </row>
    <row r="534" spans="24:43" x14ac:dyDescent="0.45">
      <c r="X534" s="2"/>
      <c r="Y534" s="2"/>
      <c r="AC534" s="13"/>
      <c r="AD534" s="13"/>
      <c r="AE534" s="13"/>
      <c r="AF534" s="17"/>
      <c r="AH534" s="2"/>
      <c r="AL534" s="17"/>
      <c r="AM534" s="17"/>
      <c r="AN534" s="17"/>
      <c r="AO534" s="17"/>
      <c r="AP534" s="17"/>
      <c r="AQ534" s="17"/>
    </row>
    <row r="535" spans="24:43" x14ac:dyDescent="0.45">
      <c r="X535" s="2"/>
      <c r="Y535" s="2"/>
      <c r="AC535" s="13"/>
      <c r="AD535" s="13"/>
      <c r="AE535" s="13"/>
      <c r="AF535" s="17"/>
      <c r="AH535" s="2"/>
      <c r="AL535" s="17"/>
      <c r="AM535" s="17"/>
      <c r="AN535" s="17"/>
      <c r="AO535" s="17"/>
      <c r="AP535" s="17"/>
      <c r="AQ535" s="17"/>
    </row>
    <row r="536" spans="24:43" x14ac:dyDescent="0.45">
      <c r="X536" s="2"/>
      <c r="Y536" s="2"/>
      <c r="AC536" s="13"/>
      <c r="AD536" s="13"/>
      <c r="AE536" s="13"/>
      <c r="AF536" s="17"/>
      <c r="AH536" s="2"/>
      <c r="AL536" s="17"/>
      <c r="AM536" s="17"/>
      <c r="AN536" s="17"/>
      <c r="AO536" s="17"/>
      <c r="AP536" s="17"/>
      <c r="AQ536" s="17"/>
    </row>
    <row r="537" spans="24:43" x14ac:dyDescent="0.45">
      <c r="X537" s="2"/>
      <c r="Y537" s="2"/>
      <c r="AC537" s="13"/>
      <c r="AD537" s="13"/>
      <c r="AE537" s="13"/>
      <c r="AF537" s="17"/>
      <c r="AH537" s="2"/>
      <c r="AL537" s="17"/>
      <c r="AM537" s="17"/>
      <c r="AN537" s="17"/>
      <c r="AO537" s="17"/>
      <c r="AP537" s="17"/>
      <c r="AQ537" s="17"/>
    </row>
    <row r="538" spans="24:43" x14ac:dyDescent="0.45">
      <c r="X538" s="2"/>
      <c r="Y538" s="2"/>
      <c r="AC538" s="13"/>
      <c r="AD538" s="13"/>
      <c r="AE538" s="13"/>
      <c r="AF538" s="17"/>
      <c r="AH538" s="2"/>
      <c r="AL538" s="17"/>
      <c r="AM538" s="17"/>
      <c r="AN538" s="17"/>
      <c r="AO538" s="17"/>
      <c r="AP538" s="17"/>
      <c r="AQ538" s="17"/>
    </row>
    <row r="539" spans="24:43" x14ac:dyDescent="0.45">
      <c r="X539" s="2"/>
      <c r="Y539" s="2"/>
      <c r="AC539" s="13"/>
      <c r="AD539" s="13"/>
      <c r="AE539" s="13"/>
      <c r="AF539" s="17"/>
      <c r="AH539" s="2"/>
      <c r="AL539" s="17"/>
      <c r="AM539" s="17"/>
      <c r="AN539" s="17"/>
      <c r="AO539" s="17"/>
      <c r="AP539" s="17"/>
      <c r="AQ539" s="17"/>
    </row>
    <row r="540" spans="24:43" x14ac:dyDescent="0.45">
      <c r="X540" s="2"/>
      <c r="Y540" s="2"/>
      <c r="AC540" s="13"/>
      <c r="AD540" s="13"/>
      <c r="AE540" s="13"/>
      <c r="AF540" s="17"/>
      <c r="AH540" s="2"/>
      <c r="AL540" s="17"/>
      <c r="AM540" s="17"/>
      <c r="AN540" s="17"/>
      <c r="AO540" s="17"/>
      <c r="AP540" s="17"/>
      <c r="AQ540" s="17"/>
    </row>
    <row r="541" spans="24:43" x14ac:dyDescent="0.45">
      <c r="X541" s="2"/>
      <c r="Y541" s="2"/>
      <c r="AC541" s="13"/>
      <c r="AD541" s="13"/>
      <c r="AE541" s="13"/>
      <c r="AF541" s="17"/>
      <c r="AH541" s="2"/>
      <c r="AL541" s="17"/>
      <c r="AM541" s="17"/>
      <c r="AN541" s="17"/>
      <c r="AO541" s="17"/>
      <c r="AP541" s="17"/>
      <c r="AQ541" s="17"/>
    </row>
    <row r="542" spans="24:43" x14ac:dyDescent="0.45">
      <c r="X542" s="2"/>
      <c r="Y542" s="2"/>
      <c r="AC542" s="13"/>
      <c r="AD542" s="13"/>
      <c r="AE542" s="13"/>
      <c r="AF542" s="17"/>
      <c r="AH542" s="2"/>
      <c r="AL542" s="17"/>
      <c r="AM542" s="17"/>
      <c r="AN542" s="17"/>
      <c r="AO542" s="17"/>
      <c r="AP542" s="17"/>
      <c r="AQ542" s="17"/>
    </row>
    <row r="543" spans="24:43" x14ac:dyDescent="0.45">
      <c r="X543" s="2"/>
      <c r="Y543" s="2"/>
      <c r="AC543" s="13"/>
      <c r="AD543" s="13"/>
      <c r="AE543" s="13"/>
      <c r="AF543" s="17"/>
      <c r="AH543" s="2"/>
      <c r="AL543" s="17"/>
      <c r="AM543" s="17"/>
      <c r="AN543" s="17"/>
      <c r="AO543" s="17"/>
      <c r="AP543" s="17"/>
      <c r="AQ543" s="17"/>
    </row>
    <row r="544" spans="24:43" x14ac:dyDescent="0.45">
      <c r="X544" s="2"/>
      <c r="Y544" s="2"/>
      <c r="AC544" s="13"/>
      <c r="AD544" s="13"/>
      <c r="AE544" s="13"/>
      <c r="AF544" s="17"/>
      <c r="AH544" s="2"/>
      <c r="AL544" s="17"/>
      <c r="AM544" s="17"/>
      <c r="AN544" s="17"/>
      <c r="AO544" s="17"/>
      <c r="AP544" s="17"/>
      <c r="AQ544" s="17"/>
    </row>
    <row r="545" spans="24:43" x14ac:dyDescent="0.45">
      <c r="X545" s="2"/>
      <c r="Y545" s="2"/>
      <c r="AC545" s="13"/>
      <c r="AD545" s="13"/>
      <c r="AE545" s="13"/>
      <c r="AF545" s="17"/>
      <c r="AH545" s="2"/>
      <c r="AL545" s="17"/>
      <c r="AM545" s="17"/>
      <c r="AN545" s="17"/>
      <c r="AO545" s="17"/>
      <c r="AP545" s="17"/>
      <c r="AQ545" s="17"/>
    </row>
    <row r="546" spans="24:43" x14ac:dyDescent="0.45">
      <c r="X546" s="2"/>
      <c r="Y546" s="2"/>
      <c r="AC546" s="13"/>
      <c r="AD546" s="13"/>
      <c r="AE546" s="13"/>
      <c r="AF546" s="17"/>
      <c r="AH546" s="2"/>
      <c r="AL546" s="17"/>
      <c r="AM546" s="17"/>
      <c r="AN546" s="17"/>
      <c r="AO546" s="17"/>
      <c r="AP546" s="17"/>
      <c r="AQ546" s="17"/>
    </row>
    <row r="547" spans="24:43" x14ac:dyDescent="0.45">
      <c r="X547" s="2"/>
      <c r="Y547" s="2"/>
      <c r="AC547" s="13"/>
      <c r="AD547" s="13"/>
      <c r="AE547" s="13"/>
      <c r="AF547" s="17"/>
      <c r="AH547" s="2"/>
      <c r="AL547" s="17"/>
      <c r="AM547" s="17"/>
      <c r="AN547" s="17"/>
      <c r="AO547" s="17"/>
      <c r="AP547" s="17"/>
      <c r="AQ547" s="17"/>
    </row>
    <row r="548" spans="24:43" x14ac:dyDescent="0.45">
      <c r="X548" s="2"/>
      <c r="Y548" s="2"/>
      <c r="AC548" s="13"/>
      <c r="AD548" s="13"/>
      <c r="AE548" s="13"/>
      <c r="AF548" s="17"/>
      <c r="AH548" s="2"/>
      <c r="AL548" s="17"/>
      <c r="AM548" s="17"/>
      <c r="AN548" s="17"/>
      <c r="AO548" s="17"/>
      <c r="AP548" s="17"/>
      <c r="AQ548" s="17"/>
    </row>
    <row r="549" spans="24:43" x14ac:dyDescent="0.45">
      <c r="X549" s="2"/>
      <c r="Y549" s="2"/>
      <c r="AC549" s="13"/>
      <c r="AD549" s="13"/>
      <c r="AE549" s="13"/>
      <c r="AF549" s="17"/>
      <c r="AH549" s="2"/>
      <c r="AL549" s="17"/>
      <c r="AM549" s="17"/>
      <c r="AN549" s="17"/>
      <c r="AO549" s="17"/>
      <c r="AP549" s="17"/>
      <c r="AQ549" s="17"/>
    </row>
    <row r="550" spans="24:43" x14ac:dyDescent="0.45">
      <c r="X550" s="2"/>
      <c r="Y550" s="2"/>
      <c r="AC550" s="13"/>
      <c r="AD550" s="13"/>
      <c r="AE550" s="13"/>
      <c r="AF550" s="17"/>
      <c r="AH550" s="2"/>
      <c r="AL550" s="17"/>
      <c r="AM550" s="17"/>
      <c r="AN550" s="17"/>
      <c r="AO550" s="17"/>
      <c r="AP550" s="17"/>
      <c r="AQ550" s="17"/>
    </row>
    <row r="551" spans="24:43" x14ac:dyDescent="0.45">
      <c r="X551" s="2"/>
      <c r="Y551" s="2"/>
      <c r="AC551" s="13"/>
      <c r="AD551" s="13"/>
      <c r="AE551" s="13"/>
      <c r="AF551" s="17"/>
      <c r="AH551" s="2"/>
      <c r="AL551" s="17"/>
      <c r="AM551" s="17"/>
      <c r="AN551" s="17"/>
      <c r="AO551" s="17"/>
      <c r="AP551" s="17"/>
      <c r="AQ551" s="17"/>
    </row>
    <row r="552" spans="24:43" x14ac:dyDescent="0.45">
      <c r="X552" s="2"/>
      <c r="Y552" s="2"/>
      <c r="AC552" s="13"/>
      <c r="AD552" s="13"/>
      <c r="AE552" s="13"/>
      <c r="AF552" s="17"/>
      <c r="AH552" s="2"/>
      <c r="AL552" s="17"/>
      <c r="AM552" s="17"/>
      <c r="AN552" s="17"/>
      <c r="AO552" s="17"/>
      <c r="AP552" s="17"/>
      <c r="AQ552" s="17"/>
    </row>
    <row r="553" spans="24:43" x14ac:dyDescent="0.45">
      <c r="X553" s="2"/>
      <c r="Y553" s="2"/>
      <c r="AC553" s="13"/>
      <c r="AD553" s="13"/>
      <c r="AE553" s="13"/>
      <c r="AF553" s="17"/>
      <c r="AH553" s="2"/>
      <c r="AL553" s="17"/>
      <c r="AM553" s="17"/>
      <c r="AN553" s="17"/>
      <c r="AO553" s="17"/>
      <c r="AP553" s="17"/>
      <c r="AQ553" s="17"/>
    </row>
    <row r="554" spans="24:43" x14ac:dyDescent="0.45">
      <c r="X554" s="2"/>
      <c r="Y554" s="2"/>
      <c r="AC554" s="13"/>
      <c r="AD554" s="13"/>
      <c r="AE554" s="13"/>
      <c r="AF554" s="17"/>
      <c r="AH554" s="2"/>
      <c r="AL554" s="17"/>
      <c r="AM554" s="17"/>
      <c r="AN554" s="17"/>
      <c r="AO554" s="17"/>
      <c r="AP554" s="17"/>
      <c r="AQ554" s="17"/>
    </row>
    <row r="555" spans="24:43" x14ac:dyDescent="0.45">
      <c r="X555" s="2"/>
      <c r="Y555" s="2"/>
      <c r="AC555" s="13"/>
      <c r="AD555" s="13"/>
      <c r="AE555" s="13"/>
      <c r="AF555" s="17"/>
      <c r="AH555" s="2"/>
      <c r="AL555" s="17"/>
      <c r="AM555" s="17"/>
      <c r="AN555" s="17"/>
      <c r="AO555" s="17"/>
      <c r="AP555" s="17"/>
      <c r="AQ555" s="17"/>
    </row>
    <row r="556" spans="24:43" x14ac:dyDescent="0.45">
      <c r="X556" s="2"/>
      <c r="Y556" s="2"/>
      <c r="AC556" s="13"/>
      <c r="AD556" s="13"/>
      <c r="AE556" s="13"/>
      <c r="AF556" s="17"/>
      <c r="AH556" s="2"/>
      <c r="AL556" s="17"/>
      <c r="AM556" s="17"/>
      <c r="AN556" s="17"/>
      <c r="AO556" s="17"/>
      <c r="AP556" s="17"/>
      <c r="AQ556" s="17"/>
    </row>
    <row r="557" spans="24:43" x14ac:dyDescent="0.45">
      <c r="X557" s="2"/>
      <c r="Y557" s="2"/>
      <c r="AC557" s="13"/>
      <c r="AD557" s="13"/>
      <c r="AE557" s="13"/>
      <c r="AF557" s="17"/>
      <c r="AH557" s="2"/>
      <c r="AL557" s="17"/>
      <c r="AM557" s="17"/>
      <c r="AN557" s="17"/>
      <c r="AO557" s="17"/>
      <c r="AP557" s="17"/>
      <c r="AQ557" s="17"/>
    </row>
    <row r="558" spans="24:43" x14ac:dyDescent="0.45">
      <c r="X558" s="2"/>
      <c r="Y558" s="2"/>
      <c r="AC558" s="13"/>
      <c r="AD558" s="13"/>
      <c r="AE558" s="13"/>
      <c r="AF558" s="17"/>
      <c r="AH558" s="2"/>
      <c r="AL558" s="17"/>
      <c r="AM558" s="17"/>
      <c r="AN558" s="17"/>
      <c r="AO558" s="17"/>
      <c r="AP558" s="17"/>
      <c r="AQ558" s="17"/>
    </row>
    <row r="559" spans="24:43" x14ac:dyDescent="0.45">
      <c r="X559" s="2"/>
      <c r="Y559" s="2"/>
      <c r="AC559" s="13"/>
      <c r="AD559" s="13"/>
      <c r="AE559" s="13"/>
      <c r="AF559" s="17"/>
      <c r="AH559" s="2"/>
      <c r="AL559" s="17"/>
      <c r="AM559" s="17"/>
      <c r="AN559" s="17"/>
      <c r="AO559" s="17"/>
      <c r="AP559" s="17"/>
      <c r="AQ559" s="17"/>
    </row>
    <row r="560" spans="24:43" x14ac:dyDescent="0.45">
      <c r="X560" s="2"/>
      <c r="Y560" s="2"/>
      <c r="AC560" s="13"/>
      <c r="AD560" s="13"/>
      <c r="AE560" s="13"/>
      <c r="AF560" s="17"/>
      <c r="AH560" s="2"/>
      <c r="AL560" s="17"/>
      <c r="AM560" s="17"/>
      <c r="AN560" s="17"/>
      <c r="AO560" s="17"/>
      <c r="AP560" s="17"/>
      <c r="AQ560" s="17"/>
    </row>
    <row r="561" spans="24:43" x14ac:dyDescent="0.45">
      <c r="X561" s="2"/>
      <c r="Y561" s="2"/>
      <c r="AC561" s="13"/>
      <c r="AD561" s="13"/>
      <c r="AE561" s="13"/>
      <c r="AF561" s="17"/>
      <c r="AH561" s="2"/>
      <c r="AL561" s="17"/>
      <c r="AM561" s="17"/>
      <c r="AN561" s="17"/>
      <c r="AO561" s="17"/>
      <c r="AP561" s="17"/>
      <c r="AQ561" s="17"/>
    </row>
    <row r="562" spans="24:43" x14ac:dyDescent="0.45">
      <c r="X562" s="2"/>
      <c r="Y562" s="2"/>
      <c r="AC562" s="13"/>
      <c r="AD562" s="13"/>
      <c r="AE562" s="13"/>
      <c r="AF562" s="17"/>
      <c r="AH562" s="2"/>
      <c r="AL562" s="17"/>
      <c r="AM562" s="17"/>
      <c r="AN562" s="17"/>
      <c r="AO562" s="17"/>
      <c r="AP562" s="17"/>
      <c r="AQ562" s="17"/>
    </row>
    <row r="563" spans="24:43" x14ac:dyDescent="0.45">
      <c r="X563" s="2"/>
      <c r="Y563" s="2"/>
      <c r="AC563" s="13"/>
      <c r="AD563" s="13"/>
      <c r="AE563" s="13"/>
      <c r="AF563" s="17"/>
      <c r="AH563" s="2"/>
      <c r="AL563" s="17"/>
      <c r="AM563" s="17"/>
      <c r="AN563" s="17"/>
      <c r="AO563" s="17"/>
      <c r="AP563" s="17"/>
      <c r="AQ563" s="17"/>
    </row>
    <row r="564" spans="24:43" x14ac:dyDescent="0.45">
      <c r="X564" s="2"/>
      <c r="Y564" s="2"/>
      <c r="AC564" s="13"/>
      <c r="AD564" s="13"/>
      <c r="AE564" s="13"/>
      <c r="AF564" s="17"/>
      <c r="AH564" s="2"/>
      <c r="AL564" s="17"/>
      <c r="AM564" s="17"/>
      <c r="AN564" s="17"/>
      <c r="AO564" s="17"/>
      <c r="AP564" s="17"/>
      <c r="AQ564" s="17"/>
    </row>
    <row r="565" spans="24:43" x14ac:dyDescent="0.45">
      <c r="X565" s="2"/>
      <c r="Y565" s="2"/>
      <c r="AC565" s="13"/>
      <c r="AD565" s="13"/>
      <c r="AE565" s="13"/>
      <c r="AF565" s="17"/>
      <c r="AH565" s="2"/>
      <c r="AL565" s="17"/>
      <c r="AM565" s="17"/>
      <c r="AN565" s="17"/>
      <c r="AO565" s="17"/>
      <c r="AP565" s="17"/>
      <c r="AQ565" s="17"/>
    </row>
    <row r="566" spans="24:43" x14ac:dyDescent="0.45">
      <c r="X566" s="2"/>
      <c r="Y566" s="2"/>
      <c r="AC566" s="13"/>
      <c r="AD566" s="13"/>
      <c r="AE566" s="13"/>
      <c r="AF566" s="17"/>
      <c r="AH566" s="2"/>
      <c r="AL566" s="17"/>
      <c r="AM566" s="17"/>
      <c r="AN566" s="17"/>
      <c r="AO566" s="17"/>
      <c r="AP566" s="17"/>
      <c r="AQ566" s="17"/>
    </row>
    <row r="567" spans="24:43" x14ac:dyDescent="0.45">
      <c r="X567" s="2"/>
      <c r="Y567" s="2"/>
      <c r="AC567" s="13"/>
      <c r="AD567" s="13"/>
      <c r="AE567" s="13"/>
      <c r="AF567" s="17"/>
      <c r="AH567" s="2"/>
      <c r="AL567" s="17"/>
      <c r="AM567" s="17"/>
      <c r="AN567" s="17"/>
      <c r="AO567" s="17"/>
      <c r="AP567" s="17"/>
      <c r="AQ567" s="17"/>
    </row>
    <row r="568" spans="24:43" x14ac:dyDescent="0.45">
      <c r="X568" s="2"/>
      <c r="Y568" s="2"/>
      <c r="AC568" s="13"/>
      <c r="AD568" s="13"/>
      <c r="AE568" s="13"/>
      <c r="AF568" s="17"/>
      <c r="AH568" s="2"/>
      <c r="AL568" s="17"/>
      <c r="AM568" s="17"/>
      <c r="AN568" s="17"/>
      <c r="AO568" s="17"/>
      <c r="AP568" s="17"/>
      <c r="AQ568" s="17"/>
    </row>
    <row r="569" spans="24:43" x14ac:dyDescent="0.45">
      <c r="X569" s="2"/>
      <c r="Y569" s="2"/>
      <c r="AC569" s="13"/>
      <c r="AD569" s="13"/>
      <c r="AE569" s="13"/>
      <c r="AF569" s="17"/>
      <c r="AH569" s="2"/>
      <c r="AL569" s="17"/>
      <c r="AM569" s="17"/>
      <c r="AN569" s="17"/>
      <c r="AO569" s="17"/>
      <c r="AP569" s="17"/>
      <c r="AQ569" s="17"/>
    </row>
    <row r="570" spans="24:43" x14ac:dyDescent="0.45">
      <c r="X570" s="2"/>
      <c r="Y570" s="2"/>
      <c r="AC570" s="13"/>
      <c r="AD570" s="13"/>
      <c r="AE570" s="13"/>
      <c r="AF570" s="17"/>
      <c r="AH570" s="2"/>
      <c r="AL570" s="17"/>
      <c r="AM570" s="17"/>
      <c r="AN570" s="17"/>
      <c r="AO570" s="17"/>
      <c r="AP570" s="17"/>
      <c r="AQ570" s="17"/>
    </row>
    <row r="571" spans="24:43" x14ac:dyDescent="0.45">
      <c r="X571" s="2"/>
      <c r="Y571" s="2"/>
      <c r="AC571" s="13"/>
      <c r="AD571" s="13"/>
      <c r="AE571" s="13"/>
      <c r="AF571" s="17"/>
      <c r="AH571" s="2"/>
      <c r="AL571" s="17"/>
      <c r="AM571" s="17"/>
      <c r="AN571" s="17"/>
      <c r="AO571" s="17"/>
      <c r="AP571" s="17"/>
      <c r="AQ571" s="17"/>
    </row>
    <row r="572" spans="24:43" x14ac:dyDescent="0.45">
      <c r="X572" s="2"/>
      <c r="Y572" s="2"/>
      <c r="AC572" s="13"/>
      <c r="AD572" s="13"/>
      <c r="AE572" s="13"/>
      <c r="AF572" s="17"/>
      <c r="AH572" s="2"/>
      <c r="AL572" s="17"/>
      <c r="AM572" s="17"/>
      <c r="AN572" s="17"/>
      <c r="AO572" s="17"/>
      <c r="AP572" s="17"/>
      <c r="AQ572" s="17"/>
    </row>
    <row r="573" spans="24:43" x14ac:dyDescent="0.45">
      <c r="X573" s="2"/>
      <c r="Y573" s="2"/>
      <c r="AC573" s="13"/>
      <c r="AD573" s="13"/>
      <c r="AE573" s="13"/>
      <c r="AF573" s="17"/>
      <c r="AH573" s="2"/>
      <c r="AL573" s="17"/>
      <c r="AM573" s="17"/>
      <c r="AN573" s="17"/>
      <c r="AO573" s="17"/>
      <c r="AP573" s="17"/>
      <c r="AQ573" s="17"/>
    </row>
    <row r="574" spans="24:43" x14ac:dyDescent="0.45">
      <c r="X574" s="2"/>
      <c r="Y574" s="2"/>
      <c r="AC574" s="13"/>
      <c r="AD574" s="13"/>
      <c r="AE574" s="13"/>
      <c r="AF574" s="17"/>
      <c r="AH574" s="2"/>
      <c r="AL574" s="17"/>
      <c r="AM574" s="17"/>
      <c r="AN574" s="17"/>
      <c r="AO574" s="17"/>
      <c r="AP574" s="17"/>
      <c r="AQ574" s="17"/>
    </row>
    <row r="575" spans="24:43" x14ac:dyDescent="0.45">
      <c r="X575" s="2"/>
      <c r="Y575" s="2"/>
      <c r="AC575" s="13"/>
      <c r="AD575" s="13"/>
      <c r="AE575" s="13"/>
      <c r="AF575" s="17"/>
      <c r="AH575" s="2"/>
      <c r="AL575" s="17"/>
      <c r="AM575" s="17"/>
      <c r="AN575" s="17"/>
      <c r="AO575" s="17"/>
      <c r="AP575" s="17"/>
      <c r="AQ575" s="17"/>
    </row>
    <row r="576" spans="24:43" x14ac:dyDescent="0.45">
      <c r="X576" s="2"/>
      <c r="Y576" s="2"/>
      <c r="AC576" s="13"/>
      <c r="AD576" s="13"/>
      <c r="AE576" s="13"/>
      <c r="AF576" s="17"/>
      <c r="AH576" s="2"/>
      <c r="AL576" s="17"/>
      <c r="AM576" s="17"/>
      <c r="AN576" s="17"/>
      <c r="AO576" s="17"/>
      <c r="AP576" s="17"/>
      <c r="AQ576" s="17"/>
    </row>
    <row r="577" spans="24:43" x14ac:dyDescent="0.45">
      <c r="X577" s="2"/>
      <c r="Y577" s="2"/>
      <c r="AC577" s="13"/>
      <c r="AD577" s="13"/>
      <c r="AE577" s="13"/>
      <c r="AF577" s="17"/>
      <c r="AH577" s="2"/>
      <c r="AL577" s="17"/>
      <c r="AM577" s="17"/>
      <c r="AN577" s="17"/>
      <c r="AO577" s="17"/>
      <c r="AP577" s="17"/>
      <c r="AQ577" s="17"/>
    </row>
    <row r="578" spans="24:43" x14ac:dyDescent="0.45">
      <c r="X578" s="2"/>
      <c r="Y578" s="2"/>
      <c r="AC578" s="13"/>
      <c r="AD578" s="13"/>
      <c r="AE578" s="13"/>
      <c r="AF578" s="17"/>
      <c r="AH578" s="2"/>
      <c r="AL578" s="17"/>
      <c r="AM578" s="17"/>
      <c r="AN578" s="17"/>
      <c r="AO578" s="17"/>
      <c r="AP578" s="17"/>
      <c r="AQ578" s="17"/>
    </row>
    <row r="579" spans="24:43" x14ac:dyDescent="0.45">
      <c r="X579" s="2"/>
      <c r="Y579" s="2"/>
      <c r="AC579" s="13"/>
      <c r="AD579" s="13"/>
      <c r="AE579" s="13"/>
      <c r="AF579" s="17"/>
      <c r="AH579" s="2"/>
      <c r="AL579" s="17"/>
      <c r="AM579" s="17"/>
      <c r="AN579" s="17"/>
      <c r="AO579" s="17"/>
      <c r="AP579" s="17"/>
      <c r="AQ579" s="17"/>
    </row>
    <row r="580" spans="24:43" x14ac:dyDescent="0.45">
      <c r="X580" s="2"/>
      <c r="Y580" s="2"/>
      <c r="AC580" s="13"/>
      <c r="AD580" s="13"/>
      <c r="AE580" s="13"/>
      <c r="AF580" s="17"/>
      <c r="AH580" s="2"/>
      <c r="AL580" s="17"/>
      <c r="AM580" s="17"/>
      <c r="AN580" s="17"/>
      <c r="AO580" s="17"/>
      <c r="AP580" s="17"/>
      <c r="AQ580" s="17"/>
    </row>
    <row r="581" spans="24:43" x14ac:dyDescent="0.45">
      <c r="X581" s="2"/>
      <c r="Y581" s="2"/>
      <c r="AC581" s="13"/>
      <c r="AD581" s="13"/>
      <c r="AE581" s="13"/>
      <c r="AF581" s="17"/>
      <c r="AH581" s="2"/>
      <c r="AL581" s="17"/>
      <c r="AM581" s="17"/>
      <c r="AN581" s="17"/>
      <c r="AO581" s="17"/>
      <c r="AP581" s="17"/>
      <c r="AQ581" s="17"/>
    </row>
    <row r="582" spans="24:43" x14ac:dyDescent="0.45">
      <c r="X582" s="2"/>
      <c r="Y582" s="2"/>
      <c r="AC582" s="13"/>
      <c r="AD582" s="13"/>
      <c r="AE582" s="13"/>
      <c r="AF582" s="17"/>
      <c r="AH582" s="2"/>
      <c r="AL582" s="17"/>
      <c r="AM582" s="17"/>
      <c r="AN582" s="17"/>
      <c r="AO582" s="17"/>
      <c r="AP582" s="17"/>
      <c r="AQ582" s="17"/>
    </row>
    <row r="583" spans="24:43" x14ac:dyDescent="0.45">
      <c r="X583" s="2"/>
      <c r="Y583" s="2"/>
      <c r="AC583" s="13"/>
      <c r="AD583" s="13"/>
      <c r="AE583" s="13"/>
      <c r="AF583" s="17"/>
      <c r="AH583" s="2"/>
      <c r="AL583" s="17"/>
      <c r="AM583" s="17"/>
      <c r="AN583" s="17"/>
      <c r="AO583" s="17"/>
      <c r="AP583" s="17"/>
      <c r="AQ583" s="17"/>
    </row>
    <row r="584" spans="24:43" x14ac:dyDescent="0.45">
      <c r="X584" s="2"/>
      <c r="Y584" s="2"/>
      <c r="AC584" s="13"/>
      <c r="AD584" s="13"/>
      <c r="AE584" s="13"/>
      <c r="AF584" s="17"/>
      <c r="AH584" s="2"/>
      <c r="AL584" s="17"/>
      <c r="AM584" s="17"/>
      <c r="AN584" s="17"/>
      <c r="AO584" s="17"/>
      <c r="AP584" s="17"/>
      <c r="AQ584" s="17"/>
    </row>
    <row r="585" spans="24:43" x14ac:dyDescent="0.45">
      <c r="X585" s="2"/>
      <c r="Y585" s="2"/>
      <c r="AC585" s="13"/>
      <c r="AD585" s="13"/>
      <c r="AE585" s="13"/>
      <c r="AF585" s="17"/>
      <c r="AH585" s="2"/>
      <c r="AL585" s="17"/>
      <c r="AM585" s="17"/>
      <c r="AN585" s="17"/>
      <c r="AO585" s="17"/>
      <c r="AP585" s="17"/>
      <c r="AQ585" s="17"/>
    </row>
    <row r="586" spans="24:43" x14ac:dyDescent="0.45">
      <c r="X586" s="2"/>
      <c r="Y586" s="2"/>
      <c r="AC586" s="13"/>
      <c r="AD586" s="13"/>
      <c r="AE586" s="13"/>
      <c r="AF586" s="17"/>
      <c r="AH586" s="2"/>
      <c r="AL586" s="17"/>
      <c r="AM586" s="17"/>
      <c r="AN586" s="17"/>
      <c r="AO586" s="17"/>
      <c r="AP586" s="17"/>
      <c r="AQ586" s="17"/>
    </row>
    <row r="587" spans="24:43" x14ac:dyDescent="0.45">
      <c r="X587" s="2"/>
      <c r="Y587" s="2"/>
      <c r="AC587" s="13"/>
      <c r="AD587" s="13"/>
      <c r="AE587" s="13"/>
      <c r="AF587" s="17"/>
      <c r="AH587" s="2"/>
      <c r="AL587" s="17"/>
      <c r="AM587" s="17"/>
      <c r="AN587" s="17"/>
      <c r="AO587" s="17"/>
      <c r="AP587" s="17"/>
      <c r="AQ587" s="17"/>
    </row>
    <row r="588" spans="24:43" x14ac:dyDescent="0.45">
      <c r="X588" s="2"/>
      <c r="Y588" s="2"/>
      <c r="AC588" s="13"/>
      <c r="AD588" s="13"/>
      <c r="AE588" s="13"/>
      <c r="AF588" s="17"/>
      <c r="AH588" s="2"/>
      <c r="AL588" s="17"/>
      <c r="AM588" s="17"/>
      <c r="AN588" s="17"/>
      <c r="AO588" s="17"/>
      <c r="AP588" s="17"/>
      <c r="AQ588" s="17"/>
    </row>
    <row r="589" spans="24:43" x14ac:dyDescent="0.45">
      <c r="X589" s="2"/>
      <c r="Y589" s="2"/>
      <c r="AC589" s="13"/>
      <c r="AD589" s="13"/>
      <c r="AE589" s="13"/>
      <c r="AF589" s="17"/>
      <c r="AH589" s="2"/>
      <c r="AL589" s="17"/>
      <c r="AM589" s="17"/>
      <c r="AN589" s="17"/>
      <c r="AO589" s="17"/>
      <c r="AP589" s="17"/>
      <c r="AQ589" s="17"/>
    </row>
    <row r="590" spans="24:43" x14ac:dyDescent="0.45">
      <c r="X590" s="2"/>
      <c r="Y590" s="2"/>
      <c r="AC590" s="13"/>
      <c r="AD590" s="13"/>
      <c r="AE590" s="13"/>
      <c r="AF590" s="17"/>
      <c r="AH590" s="2"/>
      <c r="AL590" s="17"/>
      <c r="AM590" s="17"/>
      <c r="AN590" s="17"/>
      <c r="AO590" s="17"/>
      <c r="AP590" s="17"/>
      <c r="AQ590" s="17"/>
    </row>
    <row r="591" spans="24:43" x14ac:dyDescent="0.45">
      <c r="X591" s="2"/>
      <c r="Y591" s="2"/>
      <c r="AC591" s="13"/>
      <c r="AD591" s="13"/>
      <c r="AE591" s="13"/>
      <c r="AF591" s="17"/>
      <c r="AH591" s="2"/>
      <c r="AL591" s="17"/>
      <c r="AM591" s="17"/>
      <c r="AN591" s="17"/>
      <c r="AO591" s="17"/>
      <c r="AP591" s="17"/>
      <c r="AQ591" s="17"/>
    </row>
    <row r="592" spans="24:43" x14ac:dyDescent="0.45">
      <c r="X592" s="2"/>
      <c r="Y592" s="2"/>
      <c r="AC592" s="13"/>
      <c r="AD592" s="13"/>
      <c r="AE592" s="13"/>
      <c r="AF592" s="17"/>
      <c r="AH592" s="2"/>
      <c r="AL592" s="17"/>
      <c r="AM592" s="17"/>
      <c r="AN592" s="17"/>
      <c r="AO592" s="17"/>
      <c r="AP592" s="17"/>
      <c r="AQ592" s="17"/>
    </row>
    <row r="593" spans="24:43" x14ac:dyDescent="0.45">
      <c r="X593" s="2"/>
      <c r="Y593" s="2"/>
      <c r="AC593" s="13"/>
      <c r="AD593" s="13"/>
      <c r="AE593" s="13"/>
      <c r="AF593" s="17"/>
      <c r="AH593" s="2"/>
      <c r="AL593" s="17"/>
      <c r="AM593" s="17"/>
      <c r="AN593" s="17"/>
      <c r="AO593" s="17"/>
      <c r="AP593" s="17"/>
      <c r="AQ593" s="17"/>
    </row>
    <row r="594" spans="24:43" x14ac:dyDescent="0.45">
      <c r="X594" s="2"/>
      <c r="Y594" s="2"/>
      <c r="AC594" s="13"/>
      <c r="AD594" s="13"/>
      <c r="AE594" s="13"/>
      <c r="AF594" s="17"/>
      <c r="AH594" s="2"/>
      <c r="AL594" s="17"/>
      <c r="AM594" s="17"/>
      <c r="AN594" s="17"/>
      <c r="AO594" s="17"/>
      <c r="AP594" s="17"/>
      <c r="AQ594" s="17"/>
    </row>
    <row r="595" spans="24:43" x14ac:dyDescent="0.45">
      <c r="X595" s="2"/>
      <c r="Y595" s="2"/>
      <c r="AC595" s="13"/>
      <c r="AD595" s="13"/>
      <c r="AE595" s="13"/>
      <c r="AF595" s="17"/>
      <c r="AH595" s="2"/>
      <c r="AL595" s="17"/>
      <c r="AM595" s="17"/>
      <c r="AN595" s="17"/>
      <c r="AO595" s="17"/>
      <c r="AP595" s="17"/>
      <c r="AQ595" s="17"/>
    </row>
    <row r="596" spans="24:43" x14ac:dyDescent="0.45">
      <c r="X596" s="2"/>
      <c r="Y596" s="2"/>
      <c r="AC596" s="13"/>
      <c r="AD596" s="13"/>
      <c r="AE596" s="13"/>
      <c r="AF596" s="17"/>
      <c r="AH596" s="2"/>
      <c r="AL596" s="17"/>
      <c r="AM596" s="17"/>
      <c r="AN596" s="17"/>
      <c r="AO596" s="17"/>
      <c r="AP596" s="17"/>
      <c r="AQ596" s="17"/>
    </row>
    <row r="597" spans="24:43" x14ac:dyDescent="0.45">
      <c r="X597" s="2"/>
      <c r="Y597" s="2"/>
      <c r="AC597" s="13"/>
      <c r="AD597" s="13"/>
      <c r="AE597" s="13"/>
      <c r="AF597" s="17"/>
      <c r="AH597" s="2"/>
      <c r="AL597" s="17"/>
      <c r="AM597" s="17"/>
      <c r="AN597" s="17"/>
      <c r="AO597" s="17"/>
      <c r="AP597" s="17"/>
      <c r="AQ597" s="17"/>
    </row>
    <row r="598" spans="24:43" x14ac:dyDescent="0.45">
      <c r="X598" s="2"/>
      <c r="Y598" s="2"/>
      <c r="AC598" s="13"/>
      <c r="AD598" s="13"/>
      <c r="AE598" s="13"/>
      <c r="AF598" s="17"/>
      <c r="AH598" s="2"/>
      <c r="AL598" s="17"/>
      <c r="AM598" s="17"/>
      <c r="AN598" s="17"/>
      <c r="AO598" s="17"/>
      <c r="AP598" s="17"/>
      <c r="AQ598" s="17"/>
    </row>
    <row r="599" spans="24:43" x14ac:dyDescent="0.45">
      <c r="X599" s="2"/>
      <c r="Y599" s="2"/>
      <c r="AC599" s="13"/>
      <c r="AD599" s="13"/>
      <c r="AE599" s="13"/>
      <c r="AF599" s="17"/>
      <c r="AH599" s="2"/>
      <c r="AL599" s="17"/>
      <c r="AM599" s="17"/>
      <c r="AN599" s="17"/>
      <c r="AO599" s="17"/>
      <c r="AP599" s="17"/>
      <c r="AQ599" s="17"/>
    </row>
    <row r="600" spans="24:43" x14ac:dyDescent="0.45">
      <c r="X600" s="2"/>
      <c r="Y600" s="2"/>
      <c r="AC600" s="13"/>
      <c r="AD600" s="13"/>
      <c r="AE600" s="13"/>
      <c r="AF600" s="17"/>
      <c r="AH600" s="2"/>
      <c r="AL600" s="17"/>
      <c r="AM600" s="17"/>
      <c r="AN600" s="17"/>
      <c r="AO600" s="17"/>
      <c r="AP600" s="17"/>
      <c r="AQ600" s="17"/>
    </row>
    <row r="601" spans="24:43" x14ac:dyDescent="0.45">
      <c r="X601" s="2"/>
      <c r="Y601" s="2"/>
      <c r="AC601" s="13"/>
      <c r="AD601" s="13"/>
      <c r="AE601" s="13"/>
      <c r="AF601" s="17"/>
      <c r="AH601" s="2"/>
      <c r="AL601" s="17"/>
      <c r="AM601" s="17"/>
      <c r="AN601" s="17"/>
      <c r="AO601" s="17"/>
      <c r="AP601" s="17"/>
      <c r="AQ601" s="17"/>
    </row>
    <row r="602" spans="24:43" x14ac:dyDescent="0.45">
      <c r="X602" s="2"/>
      <c r="Y602" s="2"/>
      <c r="AC602" s="13"/>
      <c r="AD602" s="13"/>
      <c r="AE602" s="13"/>
      <c r="AF602" s="17"/>
      <c r="AH602" s="2"/>
      <c r="AL602" s="17"/>
      <c r="AM602" s="17"/>
      <c r="AN602" s="17"/>
      <c r="AO602" s="17"/>
      <c r="AP602" s="17"/>
      <c r="AQ602" s="17"/>
    </row>
    <row r="603" spans="24:43" x14ac:dyDescent="0.45">
      <c r="X603" s="2"/>
      <c r="Y603" s="2"/>
      <c r="AC603" s="13"/>
      <c r="AD603" s="13"/>
      <c r="AE603" s="13"/>
      <c r="AF603" s="17"/>
      <c r="AH603" s="2"/>
      <c r="AL603" s="17"/>
      <c r="AM603" s="17"/>
      <c r="AN603" s="17"/>
      <c r="AO603" s="17"/>
      <c r="AP603" s="17"/>
      <c r="AQ603" s="17"/>
    </row>
    <row r="604" spans="24:43" x14ac:dyDescent="0.45">
      <c r="X604" s="2"/>
      <c r="Y604" s="2"/>
      <c r="AC604" s="13"/>
      <c r="AD604" s="13"/>
      <c r="AE604" s="13"/>
      <c r="AF604" s="17"/>
      <c r="AH604" s="2"/>
      <c r="AL604" s="17"/>
      <c r="AM604" s="17"/>
      <c r="AN604" s="17"/>
      <c r="AO604" s="17"/>
      <c r="AP604" s="17"/>
      <c r="AQ604" s="17"/>
    </row>
    <row r="605" spans="24:43" x14ac:dyDescent="0.45">
      <c r="X605" s="2"/>
      <c r="Y605" s="2"/>
      <c r="AC605" s="13"/>
      <c r="AD605" s="13"/>
      <c r="AE605" s="13"/>
      <c r="AF605" s="17"/>
      <c r="AH605" s="2"/>
      <c r="AL605" s="17"/>
      <c r="AM605" s="17"/>
      <c r="AN605" s="17"/>
      <c r="AO605" s="17"/>
      <c r="AP605" s="17"/>
      <c r="AQ605" s="17"/>
    </row>
    <row r="606" spans="24:43" x14ac:dyDescent="0.45">
      <c r="X606" s="2"/>
      <c r="Y606" s="2"/>
      <c r="AC606" s="13"/>
      <c r="AD606" s="13"/>
      <c r="AE606" s="13"/>
      <c r="AF606" s="17"/>
      <c r="AH606" s="2"/>
      <c r="AL606" s="17"/>
      <c r="AM606" s="17"/>
      <c r="AN606" s="17"/>
      <c r="AO606" s="17"/>
      <c r="AP606" s="17"/>
      <c r="AQ606" s="17"/>
    </row>
    <row r="607" spans="24:43" x14ac:dyDescent="0.45">
      <c r="X607" s="2"/>
      <c r="Y607" s="2"/>
      <c r="AC607" s="13"/>
      <c r="AD607" s="13"/>
      <c r="AE607" s="13"/>
      <c r="AF607" s="17"/>
      <c r="AH607" s="2"/>
      <c r="AL607" s="17"/>
      <c r="AM607" s="17"/>
      <c r="AN607" s="17"/>
      <c r="AO607" s="17"/>
      <c r="AP607" s="17"/>
      <c r="AQ607" s="17"/>
    </row>
    <row r="608" spans="24:43" x14ac:dyDescent="0.45">
      <c r="X608" s="2"/>
      <c r="Y608" s="2"/>
      <c r="AC608" s="13"/>
      <c r="AD608" s="13"/>
      <c r="AE608" s="13"/>
      <c r="AF608" s="17"/>
      <c r="AH608" s="2"/>
      <c r="AL608" s="17"/>
      <c r="AM608" s="17"/>
      <c r="AN608" s="17"/>
      <c r="AO608" s="17"/>
      <c r="AP608" s="17"/>
      <c r="AQ608" s="17"/>
    </row>
    <row r="609" spans="24:43" x14ac:dyDescent="0.45">
      <c r="X609" s="2"/>
      <c r="Y609" s="2"/>
      <c r="AC609" s="13"/>
      <c r="AD609" s="13"/>
      <c r="AE609" s="13"/>
      <c r="AF609" s="17"/>
      <c r="AH609" s="2"/>
      <c r="AL609" s="17"/>
      <c r="AM609" s="17"/>
      <c r="AN609" s="17"/>
      <c r="AO609" s="17"/>
      <c r="AP609" s="17"/>
      <c r="AQ609" s="17"/>
    </row>
    <row r="610" spans="24:43" x14ac:dyDescent="0.45">
      <c r="X610" s="2"/>
      <c r="Y610" s="2"/>
      <c r="AC610" s="13"/>
      <c r="AD610" s="13"/>
      <c r="AE610" s="13"/>
      <c r="AF610" s="17"/>
      <c r="AH610" s="2"/>
      <c r="AL610" s="17"/>
      <c r="AM610" s="17"/>
      <c r="AN610" s="17"/>
      <c r="AO610" s="17"/>
      <c r="AP610" s="17"/>
      <c r="AQ610" s="17"/>
    </row>
    <row r="611" spans="24:43" x14ac:dyDescent="0.45">
      <c r="X611" s="2"/>
      <c r="Y611" s="2"/>
      <c r="AC611" s="13"/>
      <c r="AD611" s="13"/>
      <c r="AE611" s="13"/>
      <c r="AF611" s="17"/>
      <c r="AH611" s="2"/>
      <c r="AL611" s="17"/>
      <c r="AM611" s="17"/>
      <c r="AN611" s="17"/>
      <c r="AO611" s="17"/>
      <c r="AP611" s="17"/>
      <c r="AQ611" s="17"/>
    </row>
    <row r="612" spans="24:43" x14ac:dyDescent="0.45">
      <c r="X612" s="2"/>
      <c r="Y612" s="2"/>
      <c r="AC612" s="13"/>
      <c r="AD612" s="13"/>
      <c r="AE612" s="13"/>
      <c r="AF612" s="17"/>
      <c r="AH612" s="2"/>
      <c r="AL612" s="17"/>
      <c r="AM612" s="17"/>
      <c r="AN612" s="17"/>
      <c r="AO612" s="17"/>
      <c r="AP612" s="17"/>
      <c r="AQ612" s="17"/>
    </row>
    <row r="613" spans="24:43" x14ac:dyDescent="0.45">
      <c r="X613" s="2"/>
      <c r="Y613" s="2"/>
      <c r="AC613" s="13"/>
      <c r="AD613" s="13"/>
      <c r="AE613" s="13"/>
      <c r="AF613" s="17"/>
      <c r="AH613" s="2"/>
      <c r="AL613" s="17"/>
      <c r="AM613" s="17"/>
      <c r="AN613" s="17"/>
      <c r="AO613" s="17"/>
      <c r="AP613" s="17"/>
      <c r="AQ613" s="17"/>
    </row>
    <row r="614" spans="24:43" x14ac:dyDescent="0.45">
      <c r="X614" s="2"/>
      <c r="Y614" s="2"/>
      <c r="AC614" s="13"/>
      <c r="AD614" s="13"/>
      <c r="AE614" s="13"/>
      <c r="AF614" s="17"/>
      <c r="AH614" s="2"/>
      <c r="AL614" s="17"/>
      <c r="AM614" s="17"/>
      <c r="AN614" s="17"/>
      <c r="AO614" s="17"/>
      <c r="AP614" s="17"/>
      <c r="AQ614" s="17"/>
    </row>
    <row r="615" spans="24:43" x14ac:dyDescent="0.45">
      <c r="X615" s="2"/>
      <c r="Y615" s="2"/>
      <c r="AC615" s="13"/>
      <c r="AD615" s="13"/>
      <c r="AE615" s="13"/>
      <c r="AF615" s="17"/>
      <c r="AH615" s="2"/>
      <c r="AL615" s="17"/>
      <c r="AM615" s="17"/>
      <c r="AN615" s="17"/>
      <c r="AO615" s="17"/>
      <c r="AP615" s="17"/>
      <c r="AQ615" s="17"/>
    </row>
    <row r="616" spans="24:43" x14ac:dyDescent="0.45">
      <c r="X616" s="2"/>
      <c r="Y616" s="2"/>
      <c r="AC616" s="13"/>
      <c r="AD616" s="13"/>
      <c r="AE616" s="13"/>
      <c r="AF616" s="17"/>
      <c r="AH616" s="2"/>
      <c r="AL616" s="17"/>
      <c r="AM616" s="17"/>
      <c r="AN616" s="17"/>
      <c r="AO616" s="17"/>
      <c r="AP616" s="17"/>
      <c r="AQ616" s="17"/>
    </row>
    <row r="617" spans="24:43" x14ac:dyDescent="0.45">
      <c r="X617" s="2"/>
      <c r="Y617" s="2"/>
      <c r="AC617" s="13"/>
      <c r="AD617" s="13"/>
      <c r="AE617" s="13"/>
      <c r="AF617" s="17"/>
      <c r="AH617" s="2"/>
      <c r="AL617" s="17"/>
      <c r="AM617" s="17"/>
      <c r="AN617" s="17"/>
      <c r="AO617" s="17"/>
      <c r="AP617" s="17"/>
      <c r="AQ617" s="17"/>
    </row>
    <row r="618" spans="24:43" x14ac:dyDescent="0.45">
      <c r="X618" s="2"/>
      <c r="Y618" s="2"/>
      <c r="AC618" s="13"/>
      <c r="AD618" s="13"/>
      <c r="AE618" s="13"/>
      <c r="AF618" s="17"/>
      <c r="AH618" s="2"/>
      <c r="AL618" s="17"/>
      <c r="AM618" s="17"/>
      <c r="AN618" s="17"/>
      <c r="AO618" s="17"/>
      <c r="AP618" s="17"/>
      <c r="AQ618" s="17"/>
    </row>
    <row r="619" spans="24:43" x14ac:dyDescent="0.45">
      <c r="X619" s="2"/>
      <c r="Y619" s="2"/>
      <c r="AC619" s="13"/>
      <c r="AD619" s="13"/>
      <c r="AE619" s="13"/>
      <c r="AF619" s="17"/>
      <c r="AH619" s="2"/>
      <c r="AL619" s="17"/>
      <c r="AM619" s="17"/>
      <c r="AN619" s="17"/>
      <c r="AO619" s="17"/>
      <c r="AP619" s="17"/>
      <c r="AQ619" s="17"/>
    </row>
    <row r="620" spans="24:43" x14ac:dyDescent="0.45">
      <c r="X620" s="2"/>
      <c r="Y620" s="2"/>
      <c r="AC620" s="13"/>
      <c r="AD620" s="13"/>
      <c r="AE620" s="13"/>
      <c r="AF620" s="17"/>
      <c r="AH620" s="2"/>
      <c r="AL620" s="17"/>
      <c r="AM620" s="17"/>
      <c r="AN620" s="17"/>
      <c r="AO620" s="17"/>
      <c r="AP620" s="17"/>
      <c r="AQ620" s="17"/>
    </row>
    <row r="621" spans="24:43" x14ac:dyDescent="0.45">
      <c r="X621" s="2"/>
      <c r="Y621" s="2"/>
      <c r="AC621" s="13"/>
      <c r="AD621" s="13"/>
      <c r="AE621" s="13"/>
      <c r="AF621" s="17"/>
      <c r="AH621" s="2"/>
      <c r="AL621" s="17"/>
      <c r="AM621" s="17"/>
      <c r="AN621" s="17"/>
      <c r="AO621" s="17"/>
      <c r="AP621" s="17"/>
      <c r="AQ621" s="17"/>
    </row>
    <row r="622" spans="24:43" x14ac:dyDescent="0.45">
      <c r="X622" s="2"/>
      <c r="Y622" s="2"/>
      <c r="AC622" s="13"/>
      <c r="AD622" s="13"/>
      <c r="AE622" s="13"/>
      <c r="AF622" s="17"/>
      <c r="AH622" s="2"/>
      <c r="AL622" s="17"/>
      <c r="AM622" s="17"/>
      <c r="AN622" s="17"/>
      <c r="AO622" s="17"/>
      <c r="AP622" s="17"/>
      <c r="AQ622" s="17"/>
    </row>
    <row r="623" spans="24:43" x14ac:dyDescent="0.45">
      <c r="X623" s="2"/>
      <c r="Y623" s="2"/>
      <c r="AC623" s="13"/>
      <c r="AD623" s="13"/>
      <c r="AE623" s="13"/>
      <c r="AF623" s="17"/>
      <c r="AH623" s="2"/>
      <c r="AL623" s="17"/>
      <c r="AM623" s="17"/>
      <c r="AN623" s="17"/>
      <c r="AO623" s="17"/>
      <c r="AP623" s="17"/>
      <c r="AQ623" s="17"/>
    </row>
    <row r="624" spans="24:43" x14ac:dyDescent="0.45">
      <c r="X624" s="2"/>
      <c r="Y624" s="2"/>
      <c r="AC624" s="13"/>
      <c r="AD624" s="13"/>
      <c r="AE624" s="13"/>
      <c r="AF624" s="17"/>
      <c r="AH624" s="2"/>
      <c r="AL624" s="17"/>
      <c r="AM624" s="17"/>
      <c r="AN624" s="17"/>
      <c r="AO624" s="17"/>
      <c r="AP624" s="17"/>
      <c r="AQ624" s="17"/>
    </row>
    <row r="625" spans="24:43" x14ac:dyDescent="0.45">
      <c r="X625" s="2"/>
      <c r="Y625" s="2"/>
      <c r="AC625" s="13"/>
      <c r="AD625" s="13"/>
      <c r="AE625" s="13"/>
      <c r="AF625" s="17"/>
      <c r="AH625" s="2"/>
      <c r="AL625" s="17"/>
      <c r="AM625" s="17"/>
      <c r="AN625" s="17"/>
      <c r="AO625" s="17"/>
      <c r="AP625" s="17"/>
      <c r="AQ625" s="17"/>
    </row>
    <row r="626" spans="24:43" x14ac:dyDescent="0.45">
      <c r="X626" s="2"/>
      <c r="Y626" s="2"/>
      <c r="AC626" s="13"/>
      <c r="AD626" s="13"/>
      <c r="AE626" s="13"/>
      <c r="AF626" s="17"/>
      <c r="AH626" s="2"/>
      <c r="AL626" s="17"/>
      <c r="AM626" s="17"/>
      <c r="AN626" s="17"/>
      <c r="AO626" s="17"/>
      <c r="AP626" s="17"/>
      <c r="AQ626" s="17"/>
    </row>
    <row r="627" spans="24:43" x14ac:dyDescent="0.45">
      <c r="X627" s="2"/>
      <c r="Y627" s="2"/>
      <c r="AC627" s="13"/>
      <c r="AD627" s="13"/>
      <c r="AE627" s="13"/>
      <c r="AF627" s="17"/>
      <c r="AH627" s="2"/>
      <c r="AL627" s="17"/>
      <c r="AM627" s="17"/>
      <c r="AN627" s="17"/>
      <c r="AO627" s="17"/>
      <c r="AP627" s="17"/>
      <c r="AQ627" s="17"/>
    </row>
    <row r="628" spans="24:43" x14ac:dyDescent="0.45">
      <c r="X628" s="2"/>
      <c r="Y628" s="2"/>
      <c r="AC628" s="13"/>
      <c r="AD628" s="13"/>
      <c r="AE628" s="13"/>
      <c r="AF628" s="17"/>
      <c r="AH628" s="2"/>
      <c r="AL628" s="17"/>
      <c r="AM628" s="17"/>
      <c r="AN628" s="17"/>
      <c r="AO628" s="17"/>
      <c r="AP628" s="17"/>
      <c r="AQ628" s="17"/>
    </row>
    <row r="629" spans="24:43" x14ac:dyDescent="0.45">
      <c r="X629" s="2"/>
      <c r="Y629" s="2"/>
      <c r="AC629" s="13"/>
      <c r="AD629" s="13"/>
      <c r="AE629" s="13"/>
      <c r="AF629" s="17"/>
      <c r="AH629" s="2"/>
      <c r="AL629" s="17"/>
      <c r="AM629" s="17"/>
      <c r="AN629" s="17"/>
      <c r="AO629" s="17"/>
      <c r="AP629" s="17"/>
      <c r="AQ629" s="17"/>
    </row>
    <row r="630" spans="24:43" x14ac:dyDescent="0.45">
      <c r="X630" s="2"/>
      <c r="Y630" s="2"/>
      <c r="AC630" s="13"/>
      <c r="AD630" s="13"/>
      <c r="AE630" s="13"/>
      <c r="AF630" s="17"/>
      <c r="AH630" s="2"/>
      <c r="AL630" s="17"/>
      <c r="AM630" s="17"/>
      <c r="AN630" s="17"/>
      <c r="AO630" s="17"/>
      <c r="AP630" s="17"/>
      <c r="AQ630" s="17"/>
    </row>
    <row r="631" spans="24:43" x14ac:dyDescent="0.45">
      <c r="X631" s="2"/>
      <c r="Y631" s="2"/>
      <c r="AC631" s="13"/>
      <c r="AD631" s="13"/>
      <c r="AE631" s="13"/>
      <c r="AF631" s="17"/>
      <c r="AH631" s="2"/>
      <c r="AL631" s="17"/>
      <c r="AM631" s="17"/>
      <c r="AN631" s="17"/>
      <c r="AO631" s="17"/>
      <c r="AP631" s="17"/>
      <c r="AQ631" s="17"/>
    </row>
    <row r="632" spans="24:43" x14ac:dyDescent="0.45">
      <c r="X632" s="2"/>
      <c r="Y632" s="2"/>
      <c r="AC632" s="13"/>
      <c r="AD632" s="13"/>
      <c r="AE632" s="13"/>
      <c r="AF632" s="17"/>
      <c r="AH632" s="2"/>
      <c r="AL632" s="17"/>
      <c r="AM632" s="17"/>
      <c r="AN632" s="17"/>
      <c r="AO632" s="17"/>
      <c r="AP632" s="17"/>
      <c r="AQ632" s="17"/>
    </row>
    <row r="633" spans="24:43" x14ac:dyDescent="0.45">
      <c r="X633" s="2"/>
      <c r="Y633" s="2"/>
      <c r="AC633" s="13"/>
      <c r="AD633" s="13"/>
      <c r="AE633" s="13"/>
      <c r="AF633" s="17"/>
      <c r="AH633" s="2"/>
      <c r="AL633" s="17"/>
      <c r="AM633" s="17"/>
      <c r="AN633" s="17"/>
      <c r="AO633" s="17"/>
      <c r="AP633" s="17"/>
      <c r="AQ633" s="17"/>
    </row>
    <row r="634" spans="24:43" x14ac:dyDescent="0.45">
      <c r="X634" s="2"/>
      <c r="Y634" s="2"/>
      <c r="AC634" s="13"/>
      <c r="AD634" s="13"/>
      <c r="AE634" s="13"/>
      <c r="AF634" s="17"/>
      <c r="AH634" s="2"/>
      <c r="AL634" s="17"/>
      <c r="AM634" s="17"/>
      <c r="AN634" s="17"/>
      <c r="AO634" s="17"/>
      <c r="AP634" s="17"/>
      <c r="AQ634" s="17"/>
    </row>
    <row r="635" spans="24:43" x14ac:dyDescent="0.45">
      <c r="X635" s="2"/>
      <c r="Y635" s="2"/>
      <c r="AC635" s="13"/>
      <c r="AD635" s="13"/>
      <c r="AE635" s="13"/>
      <c r="AF635" s="17"/>
      <c r="AH635" s="2"/>
      <c r="AL635" s="17"/>
      <c r="AM635" s="17"/>
      <c r="AN635" s="17"/>
      <c r="AO635" s="17"/>
      <c r="AP635" s="17"/>
      <c r="AQ635" s="17"/>
    </row>
    <row r="636" spans="24:43" x14ac:dyDescent="0.45">
      <c r="X636" s="2"/>
      <c r="Y636" s="2"/>
      <c r="AC636" s="13"/>
      <c r="AD636" s="13"/>
      <c r="AE636" s="13"/>
      <c r="AF636" s="17"/>
      <c r="AH636" s="2"/>
      <c r="AL636" s="17"/>
      <c r="AM636" s="17"/>
      <c r="AN636" s="17"/>
      <c r="AO636" s="17"/>
      <c r="AP636" s="17"/>
      <c r="AQ636" s="17"/>
    </row>
    <row r="637" spans="24:43" x14ac:dyDescent="0.45">
      <c r="X637" s="2"/>
      <c r="Y637" s="2"/>
      <c r="AC637" s="13"/>
      <c r="AD637" s="13"/>
      <c r="AE637" s="13"/>
      <c r="AF637" s="17"/>
      <c r="AH637" s="2"/>
      <c r="AL637" s="17"/>
      <c r="AM637" s="17"/>
      <c r="AN637" s="17"/>
      <c r="AO637" s="17"/>
      <c r="AP637" s="17"/>
      <c r="AQ637" s="17"/>
    </row>
    <row r="638" spans="24:43" x14ac:dyDescent="0.45">
      <c r="X638" s="2"/>
      <c r="Y638" s="2"/>
      <c r="AC638" s="13"/>
      <c r="AD638" s="13"/>
      <c r="AE638" s="13"/>
      <c r="AF638" s="17"/>
      <c r="AH638" s="2"/>
      <c r="AL638" s="17"/>
      <c r="AM638" s="17"/>
      <c r="AN638" s="17"/>
      <c r="AO638" s="17"/>
      <c r="AP638" s="17"/>
      <c r="AQ638" s="17"/>
    </row>
    <row r="639" spans="24:43" x14ac:dyDescent="0.45">
      <c r="X639" s="2"/>
      <c r="Y639" s="2"/>
      <c r="AC639" s="13"/>
      <c r="AD639" s="13"/>
      <c r="AE639" s="13"/>
      <c r="AF639" s="17"/>
      <c r="AH639" s="2"/>
      <c r="AL639" s="17"/>
      <c r="AM639" s="17"/>
      <c r="AN639" s="17"/>
      <c r="AO639" s="17"/>
      <c r="AP639" s="17"/>
      <c r="AQ639" s="17"/>
    </row>
    <row r="640" spans="24:43" x14ac:dyDescent="0.45">
      <c r="X640" s="2"/>
      <c r="Y640" s="2"/>
      <c r="AC640" s="13"/>
      <c r="AD640" s="13"/>
      <c r="AE640" s="13"/>
      <c r="AF640" s="17"/>
      <c r="AH640" s="2"/>
      <c r="AL640" s="17"/>
      <c r="AM640" s="17"/>
      <c r="AN640" s="17"/>
      <c r="AO640" s="17"/>
      <c r="AP640" s="17"/>
      <c r="AQ640" s="17"/>
    </row>
    <row r="641" spans="24:43" x14ac:dyDescent="0.45">
      <c r="X641" s="2"/>
      <c r="Y641" s="2"/>
      <c r="AC641" s="13"/>
      <c r="AD641" s="13"/>
      <c r="AE641" s="13"/>
      <c r="AF641" s="17"/>
      <c r="AH641" s="2"/>
      <c r="AL641" s="17"/>
      <c r="AM641" s="17"/>
      <c r="AN641" s="17"/>
      <c r="AO641" s="17"/>
      <c r="AP641" s="17"/>
      <c r="AQ641" s="17"/>
    </row>
    <row r="642" spans="24:43" x14ac:dyDescent="0.45">
      <c r="X642" s="2"/>
      <c r="Y642" s="2"/>
      <c r="AC642" s="13"/>
      <c r="AD642" s="13"/>
      <c r="AE642" s="13"/>
      <c r="AF642" s="17"/>
      <c r="AH642" s="2"/>
      <c r="AL642" s="17"/>
      <c r="AM642" s="17"/>
      <c r="AN642" s="17"/>
      <c r="AO642" s="17"/>
      <c r="AP642" s="17"/>
      <c r="AQ642" s="17"/>
    </row>
    <row r="643" spans="24:43" x14ac:dyDescent="0.45">
      <c r="X643" s="2"/>
      <c r="Y643" s="2"/>
      <c r="AC643" s="13"/>
      <c r="AD643" s="13"/>
      <c r="AE643" s="13"/>
      <c r="AF643" s="17"/>
      <c r="AH643" s="2"/>
      <c r="AL643" s="17"/>
      <c r="AM643" s="17"/>
      <c r="AN643" s="17"/>
      <c r="AO643" s="17"/>
      <c r="AP643" s="17"/>
      <c r="AQ643" s="17"/>
    </row>
    <row r="644" spans="24:43" x14ac:dyDescent="0.45">
      <c r="X644" s="2"/>
      <c r="Y644" s="2"/>
      <c r="AC644" s="13"/>
      <c r="AD644" s="13"/>
      <c r="AE644" s="13"/>
      <c r="AF644" s="17"/>
      <c r="AH644" s="2"/>
      <c r="AL644" s="17"/>
      <c r="AM644" s="17"/>
      <c r="AN644" s="17"/>
      <c r="AO644" s="17"/>
      <c r="AP644" s="17"/>
      <c r="AQ644" s="17"/>
    </row>
    <row r="645" spans="24:43" x14ac:dyDescent="0.45">
      <c r="X645" s="2"/>
      <c r="Y645" s="2"/>
      <c r="AC645" s="13"/>
      <c r="AD645" s="13"/>
      <c r="AE645" s="13"/>
      <c r="AF645" s="17"/>
      <c r="AH645" s="2"/>
      <c r="AL645" s="17"/>
      <c r="AM645" s="17"/>
      <c r="AN645" s="17"/>
      <c r="AO645" s="17"/>
      <c r="AP645" s="17"/>
      <c r="AQ645" s="17"/>
    </row>
    <row r="646" spans="24:43" x14ac:dyDescent="0.45">
      <c r="X646" s="2"/>
      <c r="Y646" s="2"/>
      <c r="AC646" s="13"/>
      <c r="AD646" s="13"/>
      <c r="AE646" s="13"/>
      <c r="AF646" s="17"/>
      <c r="AH646" s="2"/>
      <c r="AL646" s="17"/>
      <c r="AM646" s="17"/>
      <c r="AN646" s="17"/>
      <c r="AO646" s="17"/>
      <c r="AP646" s="17"/>
      <c r="AQ646" s="17"/>
    </row>
    <row r="647" spans="24:43" x14ac:dyDescent="0.45">
      <c r="X647" s="2"/>
      <c r="Y647" s="2"/>
      <c r="AC647" s="13"/>
      <c r="AD647" s="13"/>
      <c r="AE647" s="13"/>
      <c r="AF647" s="17"/>
      <c r="AH647" s="2"/>
      <c r="AL647" s="17"/>
      <c r="AM647" s="17"/>
      <c r="AN647" s="17"/>
      <c r="AO647" s="17"/>
      <c r="AP647" s="17"/>
      <c r="AQ647" s="17"/>
    </row>
    <row r="648" spans="24:43" x14ac:dyDescent="0.45">
      <c r="X648" s="2"/>
      <c r="Y648" s="2"/>
      <c r="AC648" s="13"/>
      <c r="AD648" s="13"/>
      <c r="AE648" s="13"/>
      <c r="AF648" s="17"/>
      <c r="AH648" s="2"/>
      <c r="AL648" s="17"/>
      <c r="AM648" s="17"/>
      <c r="AN648" s="17"/>
      <c r="AO648" s="17"/>
      <c r="AP648" s="17"/>
      <c r="AQ648" s="17"/>
    </row>
    <row r="649" spans="24:43" x14ac:dyDescent="0.45">
      <c r="X649" s="2"/>
      <c r="Y649" s="2"/>
      <c r="AC649" s="13"/>
      <c r="AD649" s="13"/>
      <c r="AE649" s="13"/>
      <c r="AF649" s="17"/>
      <c r="AH649" s="2"/>
      <c r="AL649" s="17"/>
      <c r="AM649" s="17"/>
      <c r="AN649" s="17"/>
      <c r="AO649" s="17"/>
      <c r="AP649" s="17"/>
      <c r="AQ649" s="17"/>
    </row>
    <row r="650" spans="24:43" x14ac:dyDescent="0.45">
      <c r="X650" s="2"/>
      <c r="Y650" s="2"/>
      <c r="AC650" s="13"/>
      <c r="AD650" s="13"/>
      <c r="AE650" s="13"/>
      <c r="AF650" s="17"/>
      <c r="AH650" s="2"/>
      <c r="AL650" s="17"/>
      <c r="AM650" s="17"/>
      <c r="AN650" s="17"/>
      <c r="AO650" s="17"/>
      <c r="AP650" s="17"/>
      <c r="AQ650" s="17"/>
    </row>
    <row r="651" spans="24:43" x14ac:dyDescent="0.45">
      <c r="X651" s="2"/>
      <c r="Y651" s="2"/>
      <c r="AC651" s="13"/>
      <c r="AD651" s="13"/>
      <c r="AE651" s="13"/>
      <c r="AF651" s="17"/>
      <c r="AH651" s="2"/>
      <c r="AL651" s="17"/>
      <c r="AM651" s="17"/>
      <c r="AN651" s="17"/>
      <c r="AO651" s="17"/>
      <c r="AP651" s="17"/>
      <c r="AQ651" s="17"/>
    </row>
    <row r="652" spans="24:43" x14ac:dyDescent="0.45">
      <c r="X652" s="2"/>
      <c r="Y652" s="2"/>
      <c r="AC652" s="13"/>
      <c r="AD652" s="13"/>
      <c r="AE652" s="13"/>
      <c r="AF652" s="17"/>
      <c r="AH652" s="2"/>
      <c r="AL652" s="17"/>
      <c r="AM652" s="17"/>
      <c r="AN652" s="17"/>
      <c r="AO652" s="17"/>
      <c r="AP652" s="17"/>
      <c r="AQ652" s="17"/>
    </row>
    <row r="653" spans="24:43" x14ac:dyDescent="0.45">
      <c r="X653" s="2"/>
      <c r="Y653" s="2"/>
      <c r="AC653" s="13"/>
      <c r="AD653" s="13"/>
      <c r="AE653" s="13"/>
      <c r="AF653" s="17"/>
      <c r="AH653" s="2"/>
      <c r="AL653" s="17"/>
      <c r="AM653" s="17"/>
      <c r="AN653" s="17"/>
      <c r="AO653" s="17"/>
      <c r="AP653" s="17"/>
      <c r="AQ653" s="17"/>
    </row>
    <row r="654" spans="24:43" x14ac:dyDescent="0.45">
      <c r="X654" s="2"/>
      <c r="Y654" s="2"/>
      <c r="AC654" s="13"/>
      <c r="AD654" s="13"/>
      <c r="AE654" s="13"/>
      <c r="AF654" s="17"/>
      <c r="AH654" s="2"/>
      <c r="AL654" s="17"/>
      <c r="AM654" s="17"/>
      <c r="AN654" s="17"/>
      <c r="AO654" s="17"/>
      <c r="AP654" s="17"/>
      <c r="AQ654" s="17"/>
    </row>
    <row r="655" spans="24:43" x14ac:dyDescent="0.45">
      <c r="X655" s="2"/>
      <c r="Y655" s="2"/>
      <c r="AC655" s="13"/>
      <c r="AD655" s="13"/>
      <c r="AE655" s="13"/>
      <c r="AF655" s="17"/>
      <c r="AH655" s="2"/>
      <c r="AL655" s="17"/>
      <c r="AM655" s="17"/>
      <c r="AN655" s="17"/>
      <c r="AO655" s="17"/>
      <c r="AP655" s="17"/>
      <c r="AQ655" s="17"/>
    </row>
    <row r="656" spans="24:43" x14ac:dyDescent="0.45">
      <c r="X656" s="2"/>
      <c r="Y656" s="2"/>
      <c r="AC656" s="13"/>
      <c r="AD656" s="13"/>
      <c r="AE656" s="13"/>
      <c r="AF656" s="17"/>
      <c r="AH656" s="2"/>
      <c r="AL656" s="17"/>
      <c r="AM656" s="17"/>
      <c r="AN656" s="17"/>
      <c r="AO656" s="17"/>
      <c r="AP656" s="17"/>
      <c r="AQ656" s="17"/>
    </row>
    <row r="657" spans="24:43" x14ac:dyDescent="0.45">
      <c r="X657" s="2"/>
      <c r="Y657" s="2"/>
      <c r="AC657" s="13"/>
      <c r="AD657" s="13"/>
      <c r="AE657" s="13"/>
      <c r="AF657" s="17"/>
      <c r="AH657" s="2"/>
      <c r="AL657" s="17"/>
      <c r="AM657" s="17"/>
      <c r="AN657" s="17"/>
      <c r="AO657" s="17"/>
      <c r="AP657" s="17"/>
      <c r="AQ657" s="17"/>
    </row>
    <row r="658" spans="24:43" x14ac:dyDescent="0.45">
      <c r="X658" s="2"/>
      <c r="Y658" s="2"/>
      <c r="AC658" s="13"/>
      <c r="AD658" s="13"/>
      <c r="AE658" s="13"/>
      <c r="AF658" s="17"/>
      <c r="AH658" s="2"/>
      <c r="AL658" s="17"/>
      <c r="AM658" s="17"/>
      <c r="AN658" s="17"/>
      <c r="AO658" s="17"/>
      <c r="AP658" s="17"/>
      <c r="AQ658" s="17"/>
    </row>
    <row r="659" spans="24:43" x14ac:dyDescent="0.45">
      <c r="X659" s="2"/>
      <c r="Y659" s="2"/>
      <c r="AC659" s="13"/>
      <c r="AD659" s="13"/>
      <c r="AE659" s="13"/>
      <c r="AF659" s="17"/>
      <c r="AH659" s="2"/>
      <c r="AL659" s="17"/>
      <c r="AM659" s="17"/>
      <c r="AN659" s="17"/>
      <c r="AO659" s="17"/>
      <c r="AP659" s="17"/>
      <c r="AQ659" s="17"/>
    </row>
    <row r="660" spans="24:43" x14ac:dyDescent="0.45">
      <c r="X660" s="2"/>
      <c r="Y660" s="2"/>
      <c r="AC660" s="13"/>
      <c r="AD660" s="13"/>
      <c r="AE660" s="13"/>
      <c r="AF660" s="17"/>
      <c r="AH660" s="2"/>
      <c r="AL660" s="17"/>
      <c r="AM660" s="17"/>
      <c r="AN660" s="17"/>
      <c r="AO660" s="17"/>
      <c r="AP660" s="17"/>
      <c r="AQ660" s="17"/>
    </row>
    <row r="661" spans="24:43" x14ac:dyDescent="0.45">
      <c r="X661" s="2"/>
      <c r="Y661" s="2"/>
      <c r="AC661" s="13"/>
      <c r="AD661" s="13"/>
      <c r="AE661" s="13"/>
      <c r="AF661" s="17"/>
      <c r="AH661" s="2"/>
      <c r="AL661" s="17"/>
      <c r="AM661" s="17"/>
      <c r="AN661" s="17"/>
      <c r="AO661" s="17"/>
      <c r="AP661" s="17"/>
      <c r="AQ661" s="17"/>
    </row>
    <row r="662" spans="24:43" x14ac:dyDescent="0.45">
      <c r="X662" s="2"/>
      <c r="Y662" s="2"/>
      <c r="AC662" s="13"/>
      <c r="AD662" s="13"/>
      <c r="AE662" s="13"/>
      <c r="AF662" s="17"/>
      <c r="AH662" s="2"/>
      <c r="AL662" s="17"/>
      <c r="AM662" s="17"/>
      <c r="AN662" s="17"/>
      <c r="AO662" s="17"/>
      <c r="AP662" s="17"/>
      <c r="AQ662" s="17"/>
    </row>
    <row r="663" spans="24:43" x14ac:dyDescent="0.45">
      <c r="X663" s="2"/>
      <c r="Y663" s="2"/>
      <c r="AC663" s="13"/>
      <c r="AD663" s="13"/>
      <c r="AE663" s="13"/>
      <c r="AF663" s="17"/>
      <c r="AH663" s="2"/>
      <c r="AL663" s="17"/>
      <c r="AM663" s="17"/>
      <c r="AN663" s="17"/>
      <c r="AO663" s="17"/>
      <c r="AP663" s="17"/>
      <c r="AQ663" s="17"/>
    </row>
    <row r="664" spans="24:43" x14ac:dyDescent="0.45">
      <c r="X664" s="2"/>
      <c r="Y664" s="2"/>
      <c r="AC664" s="13"/>
      <c r="AD664" s="13"/>
      <c r="AE664" s="13"/>
      <c r="AF664" s="17"/>
      <c r="AH664" s="2"/>
      <c r="AL664" s="17"/>
      <c r="AM664" s="17"/>
      <c r="AN664" s="17"/>
      <c r="AO664" s="17"/>
      <c r="AP664" s="17"/>
      <c r="AQ664" s="17"/>
    </row>
    <row r="665" spans="24:43" x14ac:dyDescent="0.45">
      <c r="X665" s="2"/>
      <c r="Y665" s="2"/>
      <c r="AC665" s="13"/>
      <c r="AD665" s="13"/>
      <c r="AE665" s="13"/>
      <c r="AF665" s="17"/>
      <c r="AH665" s="2"/>
      <c r="AL665" s="17"/>
      <c r="AM665" s="17"/>
      <c r="AN665" s="17"/>
      <c r="AO665" s="17"/>
      <c r="AP665" s="17"/>
      <c r="AQ665" s="17"/>
    </row>
    <row r="666" spans="24:43" x14ac:dyDescent="0.45">
      <c r="X666" s="2"/>
      <c r="Y666" s="2"/>
      <c r="AC666" s="13"/>
      <c r="AD666" s="13"/>
      <c r="AE666" s="13"/>
      <c r="AF666" s="17"/>
      <c r="AH666" s="2"/>
      <c r="AL666" s="17"/>
      <c r="AM666" s="17"/>
      <c r="AN666" s="17"/>
      <c r="AO666" s="17"/>
      <c r="AP666" s="17"/>
      <c r="AQ666" s="17"/>
    </row>
    <row r="667" spans="24:43" x14ac:dyDescent="0.45">
      <c r="X667" s="2"/>
      <c r="Y667" s="2"/>
      <c r="AC667" s="13"/>
      <c r="AD667" s="13"/>
      <c r="AE667" s="13"/>
      <c r="AF667" s="17"/>
      <c r="AH667" s="2"/>
      <c r="AL667" s="17"/>
      <c r="AM667" s="17"/>
      <c r="AN667" s="17"/>
      <c r="AO667" s="17"/>
      <c r="AP667" s="17"/>
      <c r="AQ667" s="17"/>
    </row>
    <row r="668" spans="24:43" x14ac:dyDescent="0.45">
      <c r="X668" s="2"/>
      <c r="Y668" s="2"/>
      <c r="AC668" s="13"/>
      <c r="AD668" s="13"/>
      <c r="AE668" s="13"/>
      <c r="AF668" s="17"/>
      <c r="AH668" s="2"/>
      <c r="AL668" s="17"/>
      <c r="AM668" s="17"/>
      <c r="AN668" s="17"/>
      <c r="AO668" s="17"/>
      <c r="AP668" s="17"/>
      <c r="AQ668" s="17"/>
    </row>
    <row r="669" spans="24:43" x14ac:dyDescent="0.45">
      <c r="X669" s="2"/>
      <c r="Y669" s="2"/>
      <c r="AC669" s="13"/>
      <c r="AD669" s="13"/>
      <c r="AE669" s="13"/>
      <c r="AF669" s="17"/>
      <c r="AH669" s="2"/>
      <c r="AL669" s="17"/>
      <c r="AM669" s="17"/>
      <c r="AN669" s="17"/>
      <c r="AO669" s="17"/>
      <c r="AP669" s="17"/>
      <c r="AQ669" s="17"/>
    </row>
    <row r="670" spans="24:43" x14ac:dyDescent="0.45">
      <c r="X670" s="2"/>
      <c r="Y670" s="2"/>
      <c r="AC670" s="13"/>
      <c r="AD670" s="13"/>
      <c r="AE670" s="13"/>
      <c r="AF670" s="17"/>
      <c r="AH670" s="2"/>
      <c r="AL670" s="17"/>
      <c r="AM670" s="17"/>
      <c r="AN670" s="17"/>
      <c r="AO670" s="17"/>
      <c r="AP670" s="17"/>
      <c r="AQ670" s="17"/>
    </row>
    <row r="671" spans="24:43" x14ac:dyDescent="0.45">
      <c r="X671" s="2"/>
      <c r="Y671" s="2"/>
      <c r="AC671" s="13"/>
      <c r="AD671" s="13"/>
      <c r="AE671" s="13"/>
      <c r="AF671" s="17"/>
      <c r="AH671" s="2"/>
      <c r="AL671" s="17"/>
      <c r="AM671" s="17"/>
      <c r="AN671" s="17"/>
      <c r="AO671" s="17"/>
      <c r="AP671" s="17"/>
      <c r="AQ671" s="17"/>
    </row>
    <row r="672" spans="24:43" x14ac:dyDescent="0.45">
      <c r="X672" s="2"/>
      <c r="Y672" s="2"/>
      <c r="AC672" s="13"/>
      <c r="AD672" s="13"/>
      <c r="AE672" s="13"/>
      <c r="AF672" s="17"/>
      <c r="AH672" s="2"/>
      <c r="AL672" s="17"/>
      <c r="AM672" s="17"/>
      <c r="AN672" s="17"/>
      <c r="AO672" s="17"/>
      <c r="AP672" s="17"/>
      <c r="AQ672" s="17"/>
    </row>
    <row r="673" spans="24:43" x14ac:dyDescent="0.45">
      <c r="X673" s="2"/>
      <c r="Y673" s="2"/>
      <c r="AC673" s="13"/>
      <c r="AD673" s="13"/>
      <c r="AE673" s="13"/>
      <c r="AF673" s="17"/>
      <c r="AH673" s="2"/>
      <c r="AL673" s="17"/>
      <c r="AM673" s="17"/>
      <c r="AN673" s="17"/>
      <c r="AO673" s="17"/>
      <c r="AP673" s="17"/>
      <c r="AQ673" s="17"/>
    </row>
    <row r="674" spans="24:43" x14ac:dyDescent="0.45">
      <c r="X674" s="2"/>
      <c r="Y674" s="2"/>
      <c r="AC674" s="13"/>
      <c r="AD674" s="13"/>
      <c r="AE674" s="13"/>
      <c r="AF674" s="17"/>
      <c r="AH674" s="2"/>
      <c r="AL674" s="17"/>
      <c r="AM674" s="17"/>
      <c r="AN674" s="17"/>
      <c r="AO674" s="17"/>
      <c r="AP674" s="17"/>
      <c r="AQ674" s="17"/>
    </row>
    <row r="675" spans="24:43" x14ac:dyDescent="0.45">
      <c r="X675" s="2"/>
      <c r="Y675" s="2"/>
      <c r="AC675" s="13"/>
      <c r="AD675" s="13"/>
      <c r="AE675" s="13"/>
      <c r="AF675" s="17"/>
      <c r="AH675" s="2"/>
      <c r="AL675" s="17"/>
      <c r="AM675" s="17"/>
      <c r="AN675" s="17"/>
      <c r="AO675" s="17"/>
      <c r="AP675" s="17"/>
      <c r="AQ675" s="17"/>
    </row>
    <row r="676" spans="24:43" x14ac:dyDescent="0.45">
      <c r="X676" s="2"/>
      <c r="Y676" s="2"/>
      <c r="AC676" s="13"/>
      <c r="AD676" s="13"/>
      <c r="AE676" s="13"/>
      <c r="AF676" s="17"/>
      <c r="AH676" s="2"/>
      <c r="AL676" s="17"/>
      <c r="AM676" s="17"/>
      <c r="AN676" s="17"/>
      <c r="AO676" s="17"/>
      <c r="AP676" s="17"/>
      <c r="AQ676" s="17"/>
    </row>
    <row r="677" spans="24:43" x14ac:dyDescent="0.45">
      <c r="X677" s="2"/>
      <c r="Y677" s="2"/>
      <c r="AC677" s="13"/>
      <c r="AD677" s="13"/>
      <c r="AE677" s="13"/>
      <c r="AF677" s="17"/>
      <c r="AH677" s="2"/>
      <c r="AL677" s="17"/>
      <c r="AM677" s="17"/>
      <c r="AN677" s="17"/>
      <c r="AO677" s="17"/>
      <c r="AP677" s="17"/>
      <c r="AQ677" s="17"/>
    </row>
    <row r="678" spans="24:43" x14ac:dyDescent="0.45">
      <c r="X678" s="2"/>
      <c r="Y678" s="2"/>
      <c r="AC678" s="13"/>
      <c r="AD678" s="13"/>
      <c r="AE678" s="13"/>
      <c r="AF678" s="17"/>
      <c r="AH678" s="2"/>
      <c r="AL678" s="17"/>
      <c r="AM678" s="17"/>
      <c r="AN678" s="17"/>
      <c r="AO678" s="17"/>
      <c r="AP678" s="17"/>
      <c r="AQ678" s="17"/>
    </row>
    <row r="679" spans="24:43" x14ac:dyDescent="0.45">
      <c r="X679" s="2"/>
      <c r="Y679" s="2"/>
      <c r="AC679" s="13"/>
      <c r="AD679" s="13"/>
      <c r="AE679" s="13"/>
      <c r="AF679" s="17"/>
      <c r="AH679" s="2"/>
      <c r="AL679" s="17"/>
      <c r="AM679" s="17"/>
      <c r="AN679" s="17"/>
      <c r="AO679" s="17"/>
      <c r="AP679" s="17"/>
      <c r="AQ679" s="17"/>
    </row>
    <row r="680" spans="24:43" x14ac:dyDescent="0.45">
      <c r="X680" s="2"/>
      <c r="Y680" s="2"/>
      <c r="AC680" s="13"/>
      <c r="AD680" s="13"/>
      <c r="AE680" s="13"/>
      <c r="AF680" s="17"/>
      <c r="AH680" s="2"/>
      <c r="AL680" s="17"/>
      <c r="AM680" s="17"/>
      <c r="AN680" s="17"/>
      <c r="AO680" s="17"/>
      <c r="AP680" s="17"/>
      <c r="AQ680" s="17"/>
    </row>
    <row r="681" spans="24:43" x14ac:dyDescent="0.45">
      <c r="X681" s="2"/>
      <c r="Y681" s="2"/>
      <c r="AC681" s="13"/>
      <c r="AD681" s="13"/>
      <c r="AE681" s="13"/>
      <c r="AF681" s="17"/>
      <c r="AH681" s="2"/>
      <c r="AL681" s="17"/>
      <c r="AM681" s="17"/>
      <c r="AN681" s="17"/>
      <c r="AO681" s="17"/>
      <c r="AP681" s="17"/>
      <c r="AQ681" s="17"/>
    </row>
    <row r="682" spans="24:43" x14ac:dyDescent="0.45">
      <c r="X682" s="2"/>
      <c r="Y682" s="2"/>
      <c r="AC682" s="13"/>
      <c r="AD682" s="13"/>
      <c r="AE682" s="13"/>
      <c r="AF682" s="17"/>
      <c r="AH682" s="2"/>
      <c r="AL682" s="17"/>
      <c r="AM682" s="17"/>
      <c r="AN682" s="17"/>
      <c r="AO682" s="17"/>
      <c r="AP682" s="17"/>
      <c r="AQ682" s="17"/>
    </row>
    <row r="683" spans="24:43" x14ac:dyDescent="0.45">
      <c r="X683" s="2"/>
      <c r="Y683" s="2"/>
      <c r="AC683" s="13"/>
      <c r="AD683" s="13"/>
      <c r="AE683" s="13"/>
      <c r="AF683" s="17"/>
      <c r="AH683" s="2"/>
      <c r="AL683" s="17"/>
      <c r="AM683" s="17"/>
      <c r="AN683" s="17"/>
      <c r="AO683" s="17"/>
      <c r="AP683" s="17"/>
      <c r="AQ683" s="17"/>
    </row>
    <row r="684" spans="24:43" x14ac:dyDescent="0.45">
      <c r="X684" s="2"/>
      <c r="Y684" s="2"/>
      <c r="AC684" s="13"/>
      <c r="AD684" s="13"/>
      <c r="AE684" s="13"/>
      <c r="AF684" s="17"/>
      <c r="AH684" s="2"/>
      <c r="AL684" s="17"/>
      <c r="AM684" s="17"/>
      <c r="AN684" s="17"/>
      <c r="AO684" s="17"/>
      <c r="AP684" s="17"/>
      <c r="AQ684" s="17"/>
    </row>
    <row r="685" spans="24:43" x14ac:dyDescent="0.45">
      <c r="X685" s="2"/>
      <c r="Y685" s="2"/>
      <c r="AC685" s="13"/>
      <c r="AD685" s="13"/>
      <c r="AE685" s="13"/>
      <c r="AF685" s="17"/>
      <c r="AH685" s="2"/>
      <c r="AL685" s="17"/>
      <c r="AM685" s="17"/>
      <c r="AN685" s="17"/>
      <c r="AO685" s="17"/>
      <c r="AP685" s="17"/>
      <c r="AQ685" s="17"/>
    </row>
    <row r="686" spans="24:43" x14ac:dyDescent="0.45">
      <c r="X686" s="2"/>
      <c r="Y686" s="2"/>
      <c r="AC686" s="13"/>
      <c r="AD686" s="13"/>
      <c r="AE686" s="13"/>
      <c r="AF686" s="17"/>
      <c r="AH686" s="2"/>
      <c r="AL686" s="17"/>
      <c r="AM686" s="17"/>
      <c r="AN686" s="17"/>
      <c r="AO686" s="17"/>
      <c r="AP686" s="17"/>
      <c r="AQ686" s="17"/>
    </row>
    <row r="687" spans="24:43" x14ac:dyDescent="0.45">
      <c r="X687" s="2"/>
      <c r="Y687" s="2"/>
      <c r="AC687" s="13"/>
      <c r="AD687" s="13"/>
      <c r="AE687" s="13"/>
      <c r="AF687" s="17"/>
      <c r="AH687" s="2"/>
      <c r="AL687" s="17"/>
      <c r="AM687" s="17"/>
      <c r="AN687" s="17"/>
      <c r="AO687" s="17"/>
      <c r="AP687" s="17"/>
      <c r="AQ687" s="17"/>
    </row>
    <row r="688" spans="24:43" x14ac:dyDescent="0.45">
      <c r="X688" s="2"/>
      <c r="Y688" s="2"/>
      <c r="AC688" s="13"/>
      <c r="AD688" s="13"/>
      <c r="AE688" s="13"/>
      <c r="AF688" s="17"/>
      <c r="AH688" s="2"/>
      <c r="AL688" s="17"/>
      <c r="AM688" s="17"/>
      <c r="AN688" s="17"/>
      <c r="AO688" s="17"/>
      <c r="AP688" s="17"/>
      <c r="AQ688" s="17"/>
    </row>
    <row r="689" spans="24:43" x14ac:dyDescent="0.45">
      <c r="X689" s="2"/>
      <c r="Y689" s="2"/>
      <c r="AC689" s="13"/>
      <c r="AD689" s="13"/>
      <c r="AE689" s="13"/>
      <c r="AF689" s="17"/>
      <c r="AH689" s="2"/>
      <c r="AL689" s="17"/>
      <c r="AM689" s="17"/>
      <c r="AN689" s="17"/>
      <c r="AO689" s="17"/>
      <c r="AP689" s="17"/>
      <c r="AQ689" s="17"/>
    </row>
    <row r="690" spans="24:43" x14ac:dyDescent="0.45">
      <c r="X690" s="2"/>
      <c r="Y690" s="2"/>
      <c r="AC690" s="13"/>
      <c r="AD690" s="13"/>
      <c r="AE690" s="13"/>
      <c r="AF690" s="17"/>
      <c r="AH690" s="2"/>
      <c r="AL690" s="17"/>
      <c r="AM690" s="17"/>
      <c r="AN690" s="17"/>
      <c r="AO690" s="17"/>
      <c r="AP690" s="17"/>
      <c r="AQ690" s="17"/>
    </row>
    <row r="691" spans="24:43" x14ac:dyDescent="0.45">
      <c r="X691" s="2"/>
      <c r="Y691" s="2"/>
      <c r="AC691" s="13"/>
      <c r="AD691" s="13"/>
      <c r="AE691" s="13"/>
      <c r="AF691" s="17"/>
      <c r="AH691" s="2"/>
      <c r="AL691" s="17"/>
      <c r="AM691" s="17"/>
      <c r="AN691" s="17"/>
      <c r="AO691" s="17"/>
      <c r="AP691" s="17"/>
      <c r="AQ691" s="17"/>
    </row>
    <row r="692" spans="24:43" x14ac:dyDescent="0.45">
      <c r="X692" s="2"/>
      <c r="Y692" s="2"/>
      <c r="AC692" s="13"/>
      <c r="AD692" s="13"/>
      <c r="AE692" s="13"/>
      <c r="AF692" s="17"/>
      <c r="AH692" s="2"/>
      <c r="AL692" s="17"/>
      <c r="AM692" s="17"/>
      <c r="AN692" s="17"/>
      <c r="AO692" s="17"/>
      <c r="AP692" s="17"/>
      <c r="AQ692" s="17"/>
    </row>
    <row r="693" spans="24:43" x14ac:dyDescent="0.45">
      <c r="X693" s="2"/>
      <c r="Y693" s="2"/>
      <c r="AC693" s="13"/>
      <c r="AD693" s="13"/>
      <c r="AE693" s="13"/>
      <c r="AF693" s="17"/>
      <c r="AH693" s="2"/>
      <c r="AL693" s="17"/>
      <c r="AM693" s="17"/>
      <c r="AN693" s="17"/>
      <c r="AO693" s="17"/>
      <c r="AP693" s="17"/>
      <c r="AQ693" s="17"/>
    </row>
    <row r="694" spans="24:43" x14ac:dyDescent="0.45">
      <c r="X694" s="2"/>
      <c r="Y694" s="2"/>
      <c r="AC694" s="13"/>
      <c r="AD694" s="13"/>
      <c r="AE694" s="13"/>
      <c r="AF694" s="17"/>
      <c r="AH694" s="2"/>
      <c r="AL694" s="17"/>
      <c r="AM694" s="17"/>
      <c r="AN694" s="17"/>
      <c r="AO694" s="17"/>
      <c r="AP694" s="17"/>
      <c r="AQ694" s="17"/>
    </row>
    <row r="695" spans="24:43" x14ac:dyDescent="0.45">
      <c r="X695" s="2"/>
      <c r="Y695" s="2"/>
      <c r="AC695" s="13"/>
      <c r="AD695" s="13"/>
      <c r="AE695" s="13"/>
      <c r="AF695" s="17"/>
      <c r="AH695" s="2"/>
      <c r="AL695" s="17"/>
      <c r="AM695" s="17"/>
      <c r="AN695" s="17"/>
      <c r="AO695" s="17"/>
      <c r="AP695" s="17"/>
      <c r="AQ695" s="17"/>
    </row>
    <row r="696" spans="24:43" x14ac:dyDescent="0.45">
      <c r="X696" s="2"/>
      <c r="Y696" s="2"/>
      <c r="AC696" s="13"/>
      <c r="AD696" s="13"/>
      <c r="AE696" s="13"/>
      <c r="AF696" s="17"/>
      <c r="AH696" s="2"/>
      <c r="AL696" s="17"/>
      <c r="AM696" s="17"/>
      <c r="AN696" s="17"/>
      <c r="AO696" s="17"/>
      <c r="AP696" s="17"/>
      <c r="AQ696" s="17"/>
    </row>
    <row r="697" spans="24:43" x14ac:dyDescent="0.45">
      <c r="X697" s="2"/>
      <c r="Y697" s="2"/>
      <c r="AC697" s="13"/>
      <c r="AD697" s="13"/>
      <c r="AE697" s="13"/>
      <c r="AF697" s="17"/>
      <c r="AH697" s="2"/>
      <c r="AL697" s="17"/>
      <c r="AM697" s="17"/>
      <c r="AN697" s="17"/>
      <c r="AO697" s="17"/>
      <c r="AP697" s="17"/>
      <c r="AQ697" s="17"/>
    </row>
    <row r="698" spans="24:43" x14ac:dyDescent="0.45">
      <c r="X698" s="2"/>
      <c r="Y698" s="2"/>
      <c r="AC698" s="13"/>
      <c r="AD698" s="13"/>
      <c r="AE698" s="13"/>
      <c r="AF698" s="17"/>
      <c r="AH698" s="2"/>
      <c r="AL698" s="17"/>
      <c r="AM698" s="17"/>
      <c r="AN698" s="17"/>
      <c r="AO698" s="17"/>
      <c r="AP698" s="17"/>
      <c r="AQ698" s="17"/>
    </row>
    <row r="699" spans="24:43" x14ac:dyDescent="0.45">
      <c r="X699" s="2"/>
      <c r="Y699" s="2"/>
      <c r="AC699" s="13"/>
      <c r="AD699" s="13"/>
      <c r="AE699" s="13"/>
      <c r="AF699" s="17"/>
      <c r="AH699" s="2"/>
      <c r="AL699" s="17"/>
      <c r="AM699" s="17"/>
      <c r="AN699" s="17"/>
      <c r="AO699" s="17"/>
      <c r="AP699" s="17"/>
      <c r="AQ699" s="17"/>
    </row>
    <row r="700" spans="24:43" x14ac:dyDescent="0.45">
      <c r="X700" s="2"/>
      <c r="Y700" s="2"/>
      <c r="AC700" s="13"/>
      <c r="AD700" s="13"/>
      <c r="AE700" s="13"/>
      <c r="AF700" s="17"/>
      <c r="AH700" s="2"/>
      <c r="AL700" s="17"/>
      <c r="AM700" s="17"/>
      <c r="AN700" s="17"/>
      <c r="AO700" s="17"/>
      <c r="AP700" s="17"/>
      <c r="AQ700" s="17"/>
    </row>
    <row r="701" spans="24:43" x14ac:dyDescent="0.45">
      <c r="X701" s="2"/>
      <c r="Y701" s="2"/>
      <c r="AC701" s="13"/>
      <c r="AD701" s="13"/>
      <c r="AE701" s="13"/>
      <c r="AF701" s="17"/>
      <c r="AH701" s="2"/>
      <c r="AL701" s="17"/>
      <c r="AM701" s="17"/>
      <c r="AN701" s="17"/>
      <c r="AO701" s="17"/>
      <c r="AP701" s="17"/>
      <c r="AQ701" s="17"/>
    </row>
    <row r="702" spans="24:43" x14ac:dyDescent="0.45">
      <c r="X702" s="2"/>
      <c r="Y702" s="2"/>
      <c r="AC702" s="13"/>
      <c r="AD702" s="13"/>
      <c r="AE702" s="13"/>
      <c r="AF702" s="17"/>
      <c r="AH702" s="2"/>
      <c r="AL702" s="17"/>
      <c r="AM702" s="17"/>
      <c r="AN702" s="17"/>
      <c r="AO702" s="17"/>
      <c r="AP702" s="17"/>
      <c r="AQ702" s="17"/>
    </row>
    <row r="703" spans="24:43" x14ac:dyDescent="0.45">
      <c r="X703" s="2"/>
      <c r="Y703" s="2"/>
      <c r="AC703" s="13"/>
      <c r="AD703" s="13"/>
      <c r="AE703" s="13"/>
      <c r="AF703" s="17"/>
      <c r="AH703" s="2"/>
      <c r="AL703" s="17"/>
      <c r="AM703" s="17"/>
      <c r="AN703" s="17"/>
      <c r="AO703" s="17"/>
      <c r="AP703" s="17"/>
      <c r="AQ703" s="17"/>
    </row>
    <row r="704" spans="24:43" x14ac:dyDescent="0.45">
      <c r="X704" s="2"/>
      <c r="Y704" s="2"/>
      <c r="AC704" s="13"/>
      <c r="AD704" s="13"/>
      <c r="AE704" s="13"/>
      <c r="AF704" s="17"/>
      <c r="AH704" s="2"/>
      <c r="AL704" s="17"/>
      <c r="AM704" s="17"/>
      <c r="AN704" s="17"/>
      <c r="AO704" s="17"/>
      <c r="AP704" s="17"/>
      <c r="AQ704" s="17"/>
    </row>
    <row r="705" spans="24:43" x14ac:dyDescent="0.45">
      <c r="X705" s="2"/>
      <c r="Y705" s="2"/>
      <c r="AC705" s="13"/>
      <c r="AD705" s="13"/>
      <c r="AE705" s="13"/>
      <c r="AF705" s="17"/>
      <c r="AH705" s="2"/>
      <c r="AL705" s="17"/>
      <c r="AM705" s="17"/>
      <c r="AN705" s="17"/>
      <c r="AO705" s="17"/>
      <c r="AP705" s="17"/>
      <c r="AQ705" s="17"/>
    </row>
    <row r="706" spans="24:43" x14ac:dyDescent="0.45">
      <c r="X706" s="2"/>
      <c r="Y706" s="2"/>
      <c r="AC706" s="13"/>
      <c r="AD706" s="13"/>
      <c r="AE706" s="13"/>
      <c r="AF706" s="17"/>
      <c r="AH706" s="2"/>
      <c r="AL706" s="17"/>
      <c r="AM706" s="17"/>
      <c r="AN706" s="17"/>
      <c r="AO706" s="17"/>
      <c r="AP706" s="17"/>
      <c r="AQ706" s="17"/>
    </row>
    <row r="707" spans="24:43" x14ac:dyDescent="0.45">
      <c r="X707" s="2"/>
      <c r="Y707" s="2"/>
      <c r="AC707" s="13"/>
      <c r="AD707" s="13"/>
      <c r="AE707" s="13"/>
      <c r="AF707" s="17"/>
      <c r="AH707" s="2"/>
      <c r="AL707" s="17"/>
      <c r="AM707" s="17"/>
      <c r="AN707" s="17"/>
      <c r="AO707" s="17"/>
      <c r="AP707" s="17"/>
      <c r="AQ707" s="17"/>
    </row>
    <row r="708" spans="24:43" x14ac:dyDescent="0.45">
      <c r="X708" s="2"/>
      <c r="Y708" s="2"/>
      <c r="AC708" s="13"/>
      <c r="AD708" s="13"/>
      <c r="AE708" s="13"/>
      <c r="AF708" s="17"/>
      <c r="AH708" s="2"/>
      <c r="AL708" s="17"/>
      <c r="AM708" s="17"/>
      <c r="AN708" s="17"/>
      <c r="AO708" s="17"/>
      <c r="AP708" s="17"/>
      <c r="AQ708" s="17"/>
    </row>
    <row r="709" spans="24:43" x14ac:dyDescent="0.45">
      <c r="X709" s="2"/>
      <c r="Y709" s="2"/>
      <c r="AC709" s="13"/>
      <c r="AD709" s="13"/>
      <c r="AE709" s="13"/>
      <c r="AF709" s="17"/>
      <c r="AH709" s="2"/>
      <c r="AL709" s="17"/>
      <c r="AM709" s="17"/>
      <c r="AN709" s="17"/>
      <c r="AO709" s="17"/>
      <c r="AP709" s="17"/>
      <c r="AQ709" s="17"/>
    </row>
    <row r="710" spans="24:43" x14ac:dyDescent="0.45">
      <c r="X710" s="2"/>
      <c r="Y710" s="2"/>
      <c r="AC710" s="13"/>
      <c r="AD710" s="13"/>
      <c r="AE710" s="13"/>
      <c r="AF710" s="17"/>
      <c r="AH710" s="2"/>
      <c r="AL710" s="17"/>
      <c r="AM710" s="17"/>
      <c r="AN710" s="17"/>
      <c r="AO710" s="17"/>
      <c r="AP710" s="17"/>
      <c r="AQ710" s="17"/>
    </row>
    <row r="711" spans="24:43" x14ac:dyDescent="0.45">
      <c r="X711" s="2"/>
      <c r="Y711" s="2"/>
      <c r="AC711" s="13"/>
      <c r="AD711" s="13"/>
      <c r="AE711" s="13"/>
      <c r="AF711" s="17"/>
      <c r="AH711" s="2"/>
      <c r="AL711" s="17"/>
      <c r="AM711" s="17"/>
      <c r="AN711" s="17"/>
      <c r="AO711" s="17"/>
      <c r="AP711" s="17"/>
      <c r="AQ711" s="17"/>
    </row>
    <row r="712" spans="24:43" x14ac:dyDescent="0.45">
      <c r="X712" s="2"/>
      <c r="Y712" s="2"/>
      <c r="AC712" s="13"/>
      <c r="AD712" s="13"/>
      <c r="AE712" s="13"/>
      <c r="AF712" s="17"/>
      <c r="AH712" s="2"/>
      <c r="AL712" s="17"/>
      <c r="AM712" s="17"/>
      <c r="AN712" s="17"/>
      <c r="AO712" s="17"/>
      <c r="AP712" s="17"/>
      <c r="AQ712" s="17"/>
    </row>
    <row r="713" spans="24:43" x14ac:dyDescent="0.45">
      <c r="X713" s="2"/>
      <c r="Y713" s="2"/>
      <c r="AC713" s="13"/>
      <c r="AD713" s="13"/>
      <c r="AE713" s="13"/>
      <c r="AF713" s="17"/>
      <c r="AH713" s="2"/>
      <c r="AL713" s="17"/>
      <c r="AM713" s="17"/>
      <c r="AN713" s="17"/>
      <c r="AO713" s="17"/>
      <c r="AP713" s="17"/>
      <c r="AQ713" s="17"/>
    </row>
    <row r="714" spans="24:43" x14ac:dyDescent="0.45">
      <c r="X714" s="2"/>
      <c r="Y714" s="2"/>
      <c r="AC714" s="13"/>
      <c r="AD714" s="13"/>
      <c r="AE714" s="13"/>
      <c r="AF714" s="17"/>
      <c r="AH714" s="2"/>
      <c r="AL714" s="17"/>
      <c r="AM714" s="17"/>
      <c r="AN714" s="17"/>
      <c r="AO714" s="17"/>
      <c r="AP714" s="17"/>
      <c r="AQ714" s="17"/>
    </row>
    <row r="715" spans="24:43" x14ac:dyDescent="0.45">
      <c r="X715" s="2"/>
      <c r="Y715" s="2"/>
      <c r="AC715" s="13"/>
      <c r="AD715" s="13"/>
      <c r="AE715" s="13"/>
      <c r="AF715" s="17"/>
      <c r="AH715" s="2"/>
      <c r="AL715" s="17"/>
      <c r="AM715" s="17"/>
      <c r="AN715" s="17"/>
      <c r="AO715" s="17"/>
      <c r="AP715" s="17"/>
      <c r="AQ715" s="17"/>
    </row>
    <row r="716" spans="24:43" x14ac:dyDescent="0.45">
      <c r="X716" s="2"/>
      <c r="Y716" s="2"/>
      <c r="AC716" s="13"/>
      <c r="AD716" s="13"/>
      <c r="AE716" s="13"/>
      <c r="AF716" s="17"/>
      <c r="AH716" s="2"/>
      <c r="AL716" s="17"/>
      <c r="AM716" s="17"/>
      <c r="AN716" s="17"/>
      <c r="AO716" s="17"/>
      <c r="AP716" s="17"/>
      <c r="AQ716" s="17"/>
    </row>
    <row r="717" spans="24:43" x14ac:dyDescent="0.45">
      <c r="X717" s="2"/>
      <c r="Y717" s="2"/>
      <c r="AC717" s="13"/>
      <c r="AD717" s="13"/>
      <c r="AE717" s="13"/>
      <c r="AF717" s="17"/>
      <c r="AH717" s="2"/>
      <c r="AL717" s="17"/>
      <c r="AM717" s="17"/>
      <c r="AN717" s="17"/>
      <c r="AO717" s="17"/>
      <c r="AP717" s="17"/>
      <c r="AQ717" s="17"/>
    </row>
    <row r="718" spans="24:43" x14ac:dyDescent="0.45">
      <c r="X718" s="2"/>
      <c r="Y718" s="2"/>
      <c r="AC718" s="13"/>
      <c r="AD718" s="13"/>
      <c r="AE718" s="13"/>
      <c r="AF718" s="17"/>
      <c r="AH718" s="2"/>
      <c r="AL718" s="17"/>
      <c r="AM718" s="17"/>
      <c r="AN718" s="17"/>
      <c r="AO718" s="17"/>
      <c r="AP718" s="17"/>
      <c r="AQ718" s="17"/>
    </row>
    <row r="719" spans="24:43" x14ac:dyDescent="0.45">
      <c r="X719" s="2"/>
      <c r="Y719" s="2"/>
      <c r="AC719" s="13"/>
      <c r="AD719" s="13"/>
      <c r="AE719" s="13"/>
      <c r="AF719" s="17"/>
      <c r="AH719" s="2"/>
      <c r="AL719" s="17"/>
      <c r="AM719" s="17"/>
      <c r="AN719" s="17"/>
      <c r="AO719" s="17"/>
      <c r="AP719" s="17"/>
      <c r="AQ719" s="17"/>
    </row>
    <row r="720" spans="24:43" x14ac:dyDescent="0.45">
      <c r="X720" s="2"/>
      <c r="Y720" s="2"/>
      <c r="AC720" s="13"/>
      <c r="AD720" s="13"/>
      <c r="AE720" s="13"/>
      <c r="AF720" s="17"/>
      <c r="AH720" s="2"/>
      <c r="AL720" s="17"/>
      <c r="AM720" s="17"/>
      <c r="AN720" s="17"/>
      <c r="AO720" s="17"/>
      <c r="AP720" s="17"/>
      <c r="AQ720" s="17"/>
    </row>
    <row r="721" spans="24:43" x14ac:dyDescent="0.45">
      <c r="X721" s="2"/>
      <c r="Y721" s="2"/>
      <c r="AC721" s="13"/>
      <c r="AD721" s="13"/>
      <c r="AE721" s="13"/>
      <c r="AF721" s="17"/>
      <c r="AH721" s="2"/>
      <c r="AL721" s="17"/>
      <c r="AM721" s="17"/>
      <c r="AN721" s="17"/>
      <c r="AO721" s="17"/>
      <c r="AP721" s="17"/>
      <c r="AQ721" s="17"/>
    </row>
    <row r="722" spans="24:43" x14ac:dyDescent="0.45">
      <c r="X722" s="2"/>
      <c r="Y722" s="2"/>
      <c r="AC722" s="13"/>
      <c r="AD722" s="13"/>
      <c r="AE722" s="13"/>
      <c r="AF722" s="17"/>
      <c r="AH722" s="2"/>
      <c r="AL722" s="17"/>
      <c r="AM722" s="17"/>
      <c r="AN722" s="17"/>
      <c r="AO722" s="17"/>
      <c r="AP722" s="17"/>
      <c r="AQ722" s="17"/>
    </row>
    <row r="723" spans="24:43" x14ac:dyDescent="0.45">
      <c r="X723" s="2"/>
      <c r="Y723" s="2"/>
      <c r="AC723" s="13"/>
      <c r="AD723" s="13"/>
      <c r="AE723" s="13"/>
      <c r="AF723" s="17"/>
      <c r="AH723" s="2"/>
      <c r="AL723" s="17"/>
      <c r="AM723" s="17"/>
      <c r="AN723" s="17"/>
      <c r="AO723" s="17"/>
      <c r="AP723" s="17"/>
      <c r="AQ723" s="17"/>
    </row>
    <row r="724" spans="24:43" x14ac:dyDescent="0.45">
      <c r="X724" s="2"/>
      <c r="Y724" s="2"/>
      <c r="AC724" s="13"/>
      <c r="AD724" s="13"/>
      <c r="AE724" s="13"/>
      <c r="AF724" s="17"/>
      <c r="AH724" s="2"/>
      <c r="AL724" s="17"/>
      <c r="AM724" s="17"/>
      <c r="AN724" s="17"/>
      <c r="AO724" s="17"/>
      <c r="AP724" s="17"/>
      <c r="AQ724" s="17"/>
    </row>
    <row r="725" spans="24:43" x14ac:dyDescent="0.45">
      <c r="X725" s="2"/>
      <c r="Y725" s="2"/>
      <c r="AC725" s="13"/>
      <c r="AD725" s="13"/>
      <c r="AE725" s="13"/>
      <c r="AF725" s="17"/>
      <c r="AH725" s="2"/>
      <c r="AL725" s="17"/>
      <c r="AM725" s="17"/>
      <c r="AN725" s="17"/>
      <c r="AO725" s="17"/>
      <c r="AP725" s="17"/>
      <c r="AQ725" s="17"/>
    </row>
    <row r="726" spans="24:43" x14ac:dyDescent="0.45">
      <c r="X726" s="2"/>
      <c r="Y726" s="2"/>
      <c r="AC726" s="13"/>
      <c r="AD726" s="13"/>
      <c r="AE726" s="13"/>
      <c r="AF726" s="17"/>
      <c r="AH726" s="2"/>
      <c r="AL726" s="17"/>
      <c r="AM726" s="17"/>
      <c r="AN726" s="17"/>
      <c r="AO726" s="17"/>
      <c r="AP726" s="17"/>
      <c r="AQ726" s="17"/>
    </row>
    <row r="727" spans="24:43" x14ac:dyDescent="0.45">
      <c r="X727" s="2"/>
      <c r="Y727" s="2"/>
      <c r="AC727" s="13"/>
      <c r="AD727" s="13"/>
      <c r="AE727" s="13"/>
      <c r="AF727" s="17"/>
      <c r="AH727" s="2"/>
      <c r="AL727" s="17"/>
      <c r="AM727" s="17"/>
      <c r="AN727" s="17"/>
      <c r="AO727" s="17"/>
      <c r="AP727" s="17"/>
      <c r="AQ727" s="17"/>
    </row>
    <row r="728" spans="24:43" x14ac:dyDescent="0.45">
      <c r="X728" s="2"/>
      <c r="Y728" s="2"/>
      <c r="AC728" s="13"/>
      <c r="AD728" s="13"/>
      <c r="AE728" s="13"/>
      <c r="AF728" s="17"/>
      <c r="AH728" s="2"/>
      <c r="AL728" s="17"/>
      <c r="AM728" s="17"/>
      <c r="AN728" s="17"/>
      <c r="AO728" s="17"/>
      <c r="AP728" s="17"/>
      <c r="AQ728" s="17"/>
    </row>
    <row r="729" spans="24:43" x14ac:dyDescent="0.45">
      <c r="X729" s="2"/>
      <c r="Y729" s="2"/>
      <c r="AC729" s="13"/>
      <c r="AD729" s="13"/>
      <c r="AE729" s="13"/>
      <c r="AF729" s="17"/>
      <c r="AH729" s="2"/>
      <c r="AL729" s="17"/>
      <c r="AM729" s="17"/>
      <c r="AN729" s="17"/>
      <c r="AO729" s="17"/>
      <c r="AP729" s="17"/>
      <c r="AQ729" s="17"/>
    </row>
    <row r="730" spans="24:43" x14ac:dyDescent="0.45">
      <c r="X730" s="2"/>
      <c r="Y730" s="2"/>
      <c r="AC730" s="13"/>
      <c r="AD730" s="13"/>
      <c r="AE730" s="13"/>
      <c r="AF730" s="17"/>
      <c r="AH730" s="2"/>
      <c r="AL730" s="17"/>
      <c r="AM730" s="17"/>
      <c r="AN730" s="17"/>
      <c r="AO730" s="17"/>
      <c r="AP730" s="17"/>
      <c r="AQ730" s="17"/>
    </row>
    <row r="731" spans="24:43" x14ac:dyDescent="0.45">
      <c r="X731" s="2"/>
      <c r="Y731" s="2"/>
      <c r="AC731" s="13"/>
      <c r="AD731" s="13"/>
      <c r="AE731" s="13"/>
      <c r="AF731" s="17"/>
      <c r="AH731" s="2"/>
      <c r="AL731" s="17"/>
      <c r="AM731" s="17"/>
      <c r="AN731" s="17"/>
      <c r="AO731" s="17"/>
      <c r="AP731" s="17"/>
      <c r="AQ731" s="17"/>
    </row>
    <row r="732" spans="24:43" x14ac:dyDescent="0.45">
      <c r="X732" s="2"/>
      <c r="Y732" s="2"/>
      <c r="AC732" s="13"/>
      <c r="AD732" s="13"/>
      <c r="AE732" s="13"/>
      <c r="AF732" s="17"/>
      <c r="AH732" s="2"/>
      <c r="AL732" s="17"/>
      <c r="AM732" s="17"/>
      <c r="AN732" s="17"/>
      <c r="AO732" s="17"/>
      <c r="AP732" s="17"/>
      <c r="AQ732" s="17"/>
    </row>
    <row r="733" spans="24:43" x14ac:dyDescent="0.45">
      <c r="X733" s="2"/>
      <c r="Y733" s="2"/>
      <c r="AC733" s="13"/>
      <c r="AD733" s="13"/>
      <c r="AE733" s="13"/>
      <c r="AF733" s="17"/>
      <c r="AH733" s="2"/>
      <c r="AL733" s="17"/>
      <c r="AM733" s="17"/>
      <c r="AN733" s="17"/>
      <c r="AO733" s="17"/>
      <c r="AP733" s="17"/>
      <c r="AQ733" s="17"/>
    </row>
    <row r="734" spans="24:43" x14ac:dyDescent="0.45">
      <c r="X734" s="2"/>
      <c r="Y734" s="2"/>
      <c r="AC734" s="13"/>
      <c r="AD734" s="13"/>
      <c r="AE734" s="13"/>
      <c r="AF734" s="17"/>
      <c r="AH734" s="2"/>
      <c r="AL734" s="17"/>
      <c r="AM734" s="17"/>
      <c r="AN734" s="17"/>
      <c r="AO734" s="17"/>
      <c r="AP734" s="17"/>
      <c r="AQ734" s="17"/>
    </row>
    <row r="735" spans="24:43" x14ac:dyDescent="0.45">
      <c r="X735" s="2"/>
      <c r="Y735" s="2"/>
      <c r="AC735" s="13"/>
      <c r="AD735" s="13"/>
      <c r="AE735" s="13"/>
      <c r="AF735" s="17"/>
      <c r="AH735" s="2"/>
      <c r="AL735" s="17"/>
      <c r="AM735" s="17"/>
      <c r="AN735" s="17"/>
      <c r="AO735" s="17"/>
      <c r="AP735" s="17"/>
      <c r="AQ735" s="17"/>
    </row>
    <row r="736" spans="24:43" x14ac:dyDescent="0.45">
      <c r="X736" s="2"/>
      <c r="Y736" s="2"/>
      <c r="AC736" s="13"/>
      <c r="AD736" s="13"/>
      <c r="AE736" s="13"/>
      <c r="AF736" s="17"/>
      <c r="AH736" s="2"/>
      <c r="AL736" s="17"/>
      <c r="AM736" s="17"/>
      <c r="AN736" s="17"/>
      <c r="AO736" s="17"/>
      <c r="AP736" s="17"/>
      <c r="AQ736" s="17"/>
    </row>
    <row r="737" spans="24:43" x14ac:dyDescent="0.45">
      <c r="X737" s="2"/>
      <c r="Y737" s="2"/>
      <c r="AC737" s="13"/>
      <c r="AD737" s="13"/>
      <c r="AE737" s="13"/>
      <c r="AF737" s="17"/>
      <c r="AH737" s="2"/>
      <c r="AL737" s="17"/>
      <c r="AM737" s="17"/>
      <c r="AN737" s="17"/>
      <c r="AO737" s="17"/>
      <c r="AP737" s="17"/>
      <c r="AQ737" s="17"/>
    </row>
    <row r="738" spans="24:43" x14ac:dyDescent="0.45">
      <c r="X738" s="2"/>
      <c r="Y738" s="2"/>
      <c r="AC738" s="13"/>
      <c r="AD738" s="13"/>
      <c r="AE738" s="13"/>
      <c r="AF738" s="17"/>
      <c r="AH738" s="2"/>
      <c r="AL738" s="17"/>
      <c r="AM738" s="17"/>
      <c r="AN738" s="17"/>
      <c r="AO738" s="17"/>
      <c r="AP738" s="17"/>
      <c r="AQ738" s="17"/>
    </row>
    <row r="739" spans="24:43" x14ac:dyDescent="0.45">
      <c r="X739" s="2"/>
      <c r="Y739" s="2"/>
      <c r="AC739" s="13"/>
      <c r="AD739" s="13"/>
      <c r="AE739" s="13"/>
      <c r="AF739" s="17"/>
      <c r="AH739" s="2"/>
      <c r="AL739" s="17"/>
      <c r="AM739" s="17"/>
      <c r="AN739" s="17"/>
      <c r="AO739" s="17"/>
      <c r="AP739" s="17"/>
      <c r="AQ739" s="17"/>
    </row>
    <row r="740" spans="24:43" x14ac:dyDescent="0.45">
      <c r="X740" s="2"/>
      <c r="Y740" s="2"/>
      <c r="AC740" s="13"/>
      <c r="AD740" s="13"/>
      <c r="AE740" s="13"/>
      <c r="AF740" s="17"/>
      <c r="AH740" s="2"/>
      <c r="AL740" s="17"/>
      <c r="AM740" s="17"/>
      <c r="AN740" s="17"/>
      <c r="AO740" s="17"/>
      <c r="AP740" s="17"/>
      <c r="AQ740" s="17"/>
    </row>
    <row r="741" spans="24:43" x14ac:dyDescent="0.45">
      <c r="X741" s="2"/>
      <c r="Y741" s="2"/>
      <c r="AC741" s="13"/>
      <c r="AD741" s="13"/>
      <c r="AE741" s="13"/>
      <c r="AF741" s="17"/>
      <c r="AH741" s="2"/>
      <c r="AL741" s="17"/>
      <c r="AM741" s="17"/>
      <c r="AN741" s="17"/>
      <c r="AO741" s="17"/>
      <c r="AP741" s="17"/>
      <c r="AQ741" s="17"/>
    </row>
    <row r="742" spans="24:43" x14ac:dyDescent="0.45">
      <c r="X742" s="2"/>
      <c r="Y742" s="2"/>
      <c r="AC742" s="13"/>
      <c r="AD742" s="13"/>
      <c r="AE742" s="13"/>
      <c r="AF742" s="17"/>
      <c r="AH742" s="2"/>
      <c r="AL742" s="17"/>
      <c r="AM742" s="17"/>
      <c r="AN742" s="17"/>
      <c r="AO742" s="17"/>
      <c r="AP742" s="17"/>
      <c r="AQ742" s="17"/>
    </row>
    <row r="743" spans="24:43" x14ac:dyDescent="0.45">
      <c r="X743" s="2"/>
      <c r="Y743" s="2"/>
      <c r="AC743" s="13"/>
      <c r="AD743" s="13"/>
      <c r="AE743" s="13"/>
      <c r="AF743" s="17"/>
      <c r="AH743" s="2"/>
      <c r="AL743" s="17"/>
      <c r="AM743" s="17"/>
      <c r="AN743" s="17"/>
      <c r="AO743" s="17"/>
      <c r="AP743" s="17"/>
      <c r="AQ743" s="17"/>
    </row>
    <row r="744" spans="24:43" x14ac:dyDescent="0.45">
      <c r="X744" s="2"/>
      <c r="Y744" s="2"/>
      <c r="AC744" s="13"/>
      <c r="AD744" s="13"/>
      <c r="AE744" s="13"/>
      <c r="AF744" s="17"/>
      <c r="AH744" s="2"/>
      <c r="AL744" s="17"/>
      <c r="AM744" s="17"/>
      <c r="AN744" s="17"/>
      <c r="AO744" s="17"/>
      <c r="AP744" s="17"/>
      <c r="AQ744" s="17"/>
    </row>
    <row r="745" spans="24:43" x14ac:dyDescent="0.45">
      <c r="X745" s="2"/>
      <c r="Y745" s="2"/>
      <c r="AC745" s="13"/>
      <c r="AD745" s="13"/>
      <c r="AE745" s="13"/>
      <c r="AF745" s="17"/>
      <c r="AH745" s="2"/>
      <c r="AL745" s="17"/>
      <c r="AM745" s="17"/>
      <c r="AN745" s="17"/>
      <c r="AO745" s="17"/>
      <c r="AP745" s="17"/>
      <c r="AQ745" s="17"/>
    </row>
    <row r="746" spans="24:43" x14ac:dyDescent="0.45">
      <c r="X746" s="2"/>
      <c r="Y746" s="2"/>
      <c r="AC746" s="13"/>
      <c r="AD746" s="13"/>
      <c r="AE746" s="13"/>
      <c r="AF746" s="17"/>
      <c r="AH746" s="2"/>
      <c r="AL746" s="17"/>
      <c r="AM746" s="17"/>
      <c r="AN746" s="17"/>
      <c r="AO746" s="17"/>
      <c r="AP746" s="17"/>
      <c r="AQ746" s="17"/>
    </row>
    <row r="747" spans="24:43" x14ac:dyDescent="0.45">
      <c r="X747" s="2"/>
      <c r="Y747" s="2"/>
      <c r="AC747" s="13"/>
      <c r="AD747" s="13"/>
      <c r="AE747" s="13"/>
      <c r="AF747" s="17"/>
      <c r="AH747" s="2"/>
      <c r="AL747" s="17"/>
      <c r="AM747" s="17"/>
      <c r="AN747" s="17"/>
      <c r="AO747" s="17"/>
      <c r="AP747" s="17"/>
      <c r="AQ747" s="17"/>
    </row>
    <row r="748" spans="24:43" x14ac:dyDescent="0.45">
      <c r="X748" s="2"/>
      <c r="Y748" s="2"/>
      <c r="AC748" s="13"/>
      <c r="AD748" s="13"/>
      <c r="AE748" s="13"/>
      <c r="AF748" s="17"/>
      <c r="AH748" s="2"/>
      <c r="AL748" s="17"/>
      <c r="AM748" s="17"/>
      <c r="AN748" s="17"/>
      <c r="AO748" s="17"/>
      <c r="AP748" s="17"/>
      <c r="AQ748" s="17"/>
    </row>
    <row r="749" spans="24:43" x14ac:dyDescent="0.45">
      <c r="X749" s="2"/>
      <c r="Y749" s="2"/>
      <c r="AC749" s="13"/>
      <c r="AD749" s="13"/>
      <c r="AE749" s="13"/>
      <c r="AF749" s="17"/>
      <c r="AH749" s="2"/>
      <c r="AL749" s="17"/>
      <c r="AM749" s="17"/>
      <c r="AN749" s="17"/>
      <c r="AO749" s="17"/>
      <c r="AP749" s="17"/>
      <c r="AQ749" s="17"/>
    </row>
    <row r="750" spans="24:43" x14ac:dyDescent="0.45">
      <c r="X750" s="2"/>
      <c r="Y750" s="2"/>
      <c r="AC750" s="13"/>
      <c r="AD750" s="13"/>
      <c r="AE750" s="13"/>
      <c r="AF750" s="17"/>
      <c r="AH750" s="2"/>
      <c r="AL750" s="17"/>
      <c r="AM750" s="17"/>
      <c r="AN750" s="17"/>
      <c r="AO750" s="17"/>
      <c r="AP750" s="17"/>
      <c r="AQ750" s="17"/>
    </row>
    <row r="751" spans="24:43" x14ac:dyDescent="0.45">
      <c r="X751" s="2"/>
      <c r="Y751" s="2"/>
      <c r="AC751" s="13"/>
      <c r="AD751" s="13"/>
      <c r="AE751" s="13"/>
      <c r="AF751" s="17"/>
      <c r="AH751" s="2"/>
      <c r="AL751" s="17"/>
      <c r="AM751" s="17"/>
      <c r="AN751" s="17"/>
      <c r="AO751" s="17"/>
      <c r="AP751" s="17"/>
      <c r="AQ751" s="17"/>
    </row>
    <row r="752" spans="24:43" x14ac:dyDescent="0.45">
      <c r="X752" s="2"/>
      <c r="Y752" s="2"/>
      <c r="AC752" s="13"/>
      <c r="AD752" s="13"/>
      <c r="AE752" s="13"/>
      <c r="AF752" s="17"/>
      <c r="AH752" s="2"/>
      <c r="AL752" s="17"/>
      <c r="AM752" s="17"/>
      <c r="AN752" s="17"/>
      <c r="AO752" s="17"/>
      <c r="AP752" s="17"/>
      <c r="AQ752" s="17"/>
    </row>
    <row r="753" spans="24:43" x14ac:dyDescent="0.45">
      <c r="X753" s="2"/>
      <c r="Y753" s="2"/>
      <c r="AC753" s="13"/>
      <c r="AD753" s="13"/>
      <c r="AE753" s="13"/>
      <c r="AF753" s="17"/>
      <c r="AH753" s="2"/>
      <c r="AL753" s="17"/>
      <c r="AM753" s="17"/>
      <c r="AN753" s="17"/>
      <c r="AO753" s="17"/>
      <c r="AP753" s="17"/>
      <c r="AQ753" s="17"/>
    </row>
    <row r="754" spans="24:43" x14ac:dyDescent="0.45">
      <c r="X754" s="2"/>
      <c r="Y754" s="2"/>
      <c r="AC754" s="13"/>
      <c r="AD754" s="13"/>
      <c r="AE754" s="13"/>
      <c r="AF754" s="17"/>
      <c r="AH754" s="2"/>
      <c r="AL754" s="17"/>
      <c r="AM754" s="17"/>
      <c r="AN754" s="17"/>
      <c r="AO754" s="17"/>
      <c r="AP754" s="17"/>
      <c r="AQ754" s="17"/>
    </row>
    <row r="755" spans="24:43" x14ac:dyDescent="0.45">
      <c r="X755" s="2"/>
      <c r="Y755" s="2"/>
      <c r="AC755" s="13"/>
      <c r="AD755" s="13"/>
      <c r="AE755" s="13"/>
      <c r="AF755" s="17"/>
      <c r="AH755" s="2"/>
      <c r="AL755" s="17"/>
      <c r="AM755" s="17"/>
      <c r="AN755" s="17"/>
      <c r="AO755" s="17"/>
      <c r="AP755" s="17"/>
      <c r="AQ755" s="17"/>
    </row>
    <row r="756" spans="24:43" x14ac:dyDescent="0.45">
      <c r="X756" s="2"/>
      <c r="Y756" s="2"/>
      <c r="AC756" s="13"/>
      <c r="AD756" s="13"/>
      <c r="AE756" s="13"/>
      <c r="AF756" s="17"/>
      <c r="AH756" s="2"/>
      <c r="AL756" s="17"/>
      <c r="AM756" s="17"/>
      <c r="AN756" s="17"/>
      <c r="AO756" s="17"/>
      <c r="AP756" s="17"/>
      <c r="AQ756" s="17"/>
    </row>
    <row r="757" spans="24:43" x14ac:dyDescent="0.45">
      <c r="X757" s="2"/>
      <c r="Y757" s="2"/>
      <c r="AC757" s="13"/>
      <c r="AD757" s="13"/>
      <c r="AE757" s="13"/>
      <c r="AF757" s="17"/>
      <c r="AH757" s="2"/>
      <c r="AL757" s="17"/>
      <c r="AM757" s="17"/>
      <c r="AN757" s="17"/>
      <c r="AO757" s="17"/>
      <c r="AP757" s="17"/>
      <c r="AQ757" s="17"/>
    </row>
    <row r="758" spans="24:43" x14ac:dyDescent="0.45">
      <c r="X758" s="2"/>
      <c r="Y758" s="2"/>
      <c r="AC758" s="13"/>
      <c r="AD758" s="13"/>
      <c r="AE758" s="13"/>
      <c r="AF758" s="17"/>
      <c r="AH758" s="2"/>
      <c r="AL758" s="17"/>
      <c r="AM758" s="17"/>
      <c r="AN758" s="17"/>
      <c r="AO758" s="17"/>
      <c r="AP758" s="17"/>
      <c r="AQ758" s="17"/>
    </row>
    <row r="759" spans="24:43" x14ac:dyDescent="0.45">
      <c r="X759" s="2"/>
      <c r="Y759" s="2"/>
      <c r="AC759" s="13"/>
      <c r="AD759" s="13"/>
      <c r="AE759" s="13"/>
      <c r="AF759" s="17"/>
      <c r="AH759" s="2"/>
      <c r="AL759" s="17"/>
      <c r="AM759" s="17"/>
      <c r="AN759" s="17"/>
      <c r="AO759" s="17"/>
      <c r="AP759" s="17"/>
      <c r="AQ759" s="17"/>
    </row>
    <row r="760" spans="24:43" x14ac:dyDescent="0.45">
      <c r="X760" s="2"/>
      <c r="Y760" s="2"/>
      <c r="AC760" s="13"/>
      <c r="AD760" s="13"/>
      <c r="AE760" s="13"/>
      <c r="AF760" s="17"/>
      <c r="AH760" s="2"/>
      <c r="AL760" s="17"/>
      <c r="AM760" s="17"/>
      <c r="AN760" s="17"/>
      <c r="AO760" s="17"/>
      <c r="AP760" s="17"/>
      <c r="AQ760" s="17"/>
    </row>
    <row r="761" spans="24:43" x14ac:dyDescent="0.45">
      <c r="X761" s="2"/>
      <c r="Y761" s="2"/>
      <c r="AC761" s="13"/>
      <c r="AD761" s="13"/>
      <c r="AE761" s="13"/>
      <c r="AF761" s="17"/>
      <c r="AH761" s="2"/>
      <c r="AL761" s="17"/>
      <c r="AM761" s="17"/>
      <c r="AN761" s="17"/>
      <c r="AO761" s="17"/>
      <c r="AP761" s="17"/>
      <c r="AQ761" s="17"/>
    </row>
    <row r="762" spans="24:43" x14ac:dyDescent="0.45">
      <c r="X762" s="2"/>
      <c r="Y762" s="2"/>
      <c r="AC762" s="13"/>
      <c r="AD762" s="13"/>
      <c r="AE762" s="13"/>
      <c r="AF762" s="17"/>
      <c r="AH762" s="2"/>
      <c r="AL762" s="17"/>
      <c r="AM762" s="17"/>
      <c r="AN762" s="17"/>
      <c r="AO762" s="17"/>
      <c r="AP762" s="17"/>
      <c r="AQ762" s="17"/>
    </row>
    <row r="763" spans="24:43" x14ac:dyDescent="0.45">
      <c r="X763" s="2"/>
      <c r="Y763" s="2"/>
      <c r="AC763" s="13"/>
      <c r="AD763" s="13"/>
      <c r="AE763" s="13"/>
      <c r="AF763" s="17"/>
      <c r="AH763" s="2"/>
      <c r="AL763" s="17"/>
      <c r="AM763" s="17"/>
      <c r="AN763" s="17"/>
      <c r="AO763" s="17"/>
      <c r="AP763" s="17"/>
      <c r="AQ763" s="17"/>
    </row>
    <row r="764" spans="24:43" x14ac:dyDescent="0.45">
      <c r="X764" s="2"/>
      <c r="Y764" s="2"/>
      <c r="AC764" s="13"/>
      <c r="AD764" s="13"/>
      <c r="AE764" s="13"/>
      <c r="AF764" s="17"/>
      <c r="AH764" s="2"/>
      <c r="AL764" s="17"/>
      <c r="AM764" s="17"/>
      <c r="AN764" s="17"/>
      <c r="AO764" s="17"/>
      <c r="AP764" s="17"/>
      <c r="AQ764" s="17"/>
    </row>
    <row r="765" spans="24:43" x14ac:dyDescent="0.45">
      <c r="X765" s="2"/>
      <c r="Y765" s="2"/>
      <c r="AC765" s="13"/>
      <c r="AD765" s="13"/>
      <c r="AE765" s="13"/>
      <c r="AF765" s="17"/>
      <c r="AH765" s="2"/>
      <c r="AL765" s="17"/>
      <c r="AM765" s="17"/>
      <c r="AN765" s="17"/>
      <c r="AO765" s="17"/>
      <c r="AP765" s="17"/>
      <c r="AQ765" s="17"/>
    </row>
    <row r="766" spans="24:43" x14ac:dyDescent="0.45">
      <c r="X766" s="2"/>
      <c r="Y766" s="2"/>
      <c r="AC766" s="13"/>
      <c r="AD766" s="13"/>
      <c r="AE766" s="13"/>
      <c r="AF766" s="17"/>
      <c r="AH766" s="2"/>
      <c r="AL766" s="17"/>
      <c r="AM766" s="17"/>
      <c r="AN766" s="17"/>
      <c r="AO766" s="17"/>
      <c r="AP766" s="17"/>
      <c r="AQ766" s="17"/>
    </row>
    <row r="767" spans="24:43" x14ac:dyDescent="0.45">
      <c r="X767" s="2"/>
      <c r="Y767" s="2"/>
      <c r="AC767" s="13"/>
      <c r="AD767" s="13"/>
      <c r="AE767" s="13"/>
      <c r="AF767" s="17"/>
      <c r="AH767" s="2"/>
      <c r="AL767" s="17"/>
      <c r="AM767" s="17"/>
      <c r="AN767" s="17"/>
      <c r="AO767" s="17"/>
      <c r="AP767" s="17"/>
      <c r="AQ767" s="17"/>
    </row>
    <row r="768" spans="24:43" x14ac:dyDescent="0.45">
      <c r="X768" s="2"/>
      <c r="Y768" s="2"/>
      <c r="AC768" s="13"/>
      <c r="AD768" s="13"/>
      <c r="AE768" s="13"/>
      <c r="AF768" s="17"/>
      <c r="AH768" s="2"/>
      <c r="AL768" s="17"/>
      <c r="AM768" s="17"/>
      <c r="AN768" s="17"/>
      <c r="AO768" s="17"/>
      <c r="AP768" s="17"/>
      <c r="AQ768" s="17"/>
    </row>
    <row r="769" spans="24:43" x14ac:dyDescent="0.45">
      <c r="X769" s="2"/>
      <c r="Y769" s="2"/>
      <c r="AC769" s="13"/>
      <c r="AD769" s="13"/>
      <c r="AE769" s="13"/>
      <c r="AF769" s="17"/>
      <c r="AH769" s="2"/>
      <c r="AL769" s="17"/>
      <c r="AM769" s="17"/>
      <c r="AN769" s="17"/>
      <c r="AO769" s="17"/>
      <c r="AP769" s="17"/>
      <c r="AQ769" s="17"/>
    </row>
    <row r="770" spans="24:43" x14ac:dyDescent="0.45">
      <c r="X770" s="2"/>
      <c r="Y770" s="2"/>
      <c r="AC770" s="13"/>
      <c r="AD770" s="13"/>
      <c r="AE770" s="13"/>
      <c r="AF770" s="17"/>
      <c r="AH770" s="2"/>
      <c r="AL770" s="17"/>
      <c r="AM770" s="17"/>
      <c r="AN770" s="17"/>
      <c r="AO770" s="17"/>
      <c r="AP770" s="17"/>
      <c r="AQ770" s="17"/>
    </row>
    <row r="771" spans="24:43" x14ac:dyDescent="0.45">
      <c r="X771" s="2"/>
      <c r="Y771" s="2"/>
      <c r="AC771" s="13"/>
      <c r="AD771" s="13"/>
      <c r="AE771" s="13"/>
      <c r="AF771" s="17"/>
      <c r="AH771" s="2"/>
      <c r="AL771" s="17"/>
      <c r="AM771" s="17"/>
      <c r="AN771" s="17"/>
      <c r="AO771" s="17"/>
      <c r="AP771" s="17"/>
      <c r="AQ771" s="17"/>
    </row>
    <row r="772" spans="24:43" x14ac:dyDescent="0.45">
      <c r="X772" s="2"/>
      <c r="Y772" s="2"/>
      <c r="AC772" s="13"/>
      <c r="AD772" s="13"/>
      <c r="AE772" s="13"/>
      <c r="AF772" s="17"/>
      <c r="AH772" s="2"/>
      <c r="AL772" s="17"/>
      <c r="AM772" s="17"/>
      <c r="AN772" s="17"/>
      <c r="AO772" s="17"/>
      <c r="AP772" s="17"/>
      <c r="AQ772" s="17"/>
    </row>
    <row r="773" spans="24:43" x14ac:dyDescent="0.45">
      <c r="X773" s="2"/>
      <c r="Y773" s="2"/>
      <c r="AC773" s="13"/>
      <c r="AD773" s="13"/>
      <c r="AE773" s="13"/>
      <c r="AF773" s="17"/>
      <c r="AH773" s="2"/>
      <c r="AL773" s="17"/>
      <c r="AM773" s="17"/>
      <c r="AN773" s="17"/>
      <c r="AO773" s="17"/>
      <c r="AP773" s="17"/>
      <c r="AQ773" s="17"/>
    </row>
    <row r="774" spans="24:43" x14ac:dyDescent="0.45">
      <c r="X774" s="2"/>
      <c r="Y774" s="2"/>
      <c r="AC774" s="13"/>
      <c r="AD774" s="13"/>
      <c r="AE774" s="13"/>
      <c r="AF774" s="17"/>
      <c r="AH774" s="2"/>
      <c r="AL774" s="17"/>
      <c r="AM774" s="17"/>
      <c r="AN774" s="17"/>
      <c r="AO774" s="17"/>
      <c r="AP774" s="17"/>
      <c r="AQ774" s="17"/>
    </row>
    <row r="775" spans="24:43" x14ac:dyDescent="0.45">
      <c r="X775" s="2"/>
      <c r="Y775" s="2"/>
      <c r="AC775" s="13"/>
      <c r="AD775" s="13"/>
      <c r="AE775" s="13"/>
      <c r="AF775" s="17"/>
      <c r="AH775" s="2"/>
      <c r="AL775" s="17"/>
      <c r="AM775" s="17"/>
      <c r="AN775" s="17"/>
      <c r="AO775" s="17"/>
      <c r="AP775" s="17"/>
      <c r="AQ775" s="17"/>
    </row>
    <row r="776" spans="24:43" x14ac:dyDescent="0.45">
      <c r="X776" s="2"/>
      <c r="Y776" s="2"/>
      <c r="AC776" s="13"/>
      <c r="AD776" s="13"/>
      <c r="AE776" s="13"/>
      <c r="AF776" s="17"/>
      <c r="AH776" s="2"/>
      <c r="AL776" s="17"/>
      <c r="AM776" s="17"/>
      <c r="AN776" s="17"/>
      <c r="AO776" s="17"/>
      <c r="AP776" s="17"/>
      <c r="AQ776" s="17"/>
    </row>
    <row r="777" spans="24:43" x14ac:dyDescent="0.45">
      <c r="X777" s="2"/>
      <c r="Y777" s="2"/>
      <c r="AC777" s="13"/>
      <c r="AD777" s="13"/>
      <c r="AE777" s="13"/>
      <c r="AF777" s="17"/>
      <c r="AH777" s="2"/>
      <c r="AL777" s="17"/>
      <c r="AM777" s="17"/>
      <c r="AN777" s="17"/>
      <c r="AO777" s="17"/>
      <c r="AP777" s="17"/>
      <c r="AQ777" s="17"/>
    </row>
    <row r="778" spans="24:43" x14ac:dyDescent="0.45">
      <c r="X778" s="2"/>
      <c r="Y778" s="2"/>
      <c r="AC778" s="13"/>
      <c r="AD778" s="13"/>
      <c r="AE778" s="13"/>
      <c r="AF778" s="17"/>
      <c r="AH778" s="2"/>
      <c r="AL778" s="17"/>
      <c r="AM778" s="17"/>
      <c r="AN778" s="17"/>
      <c r="AO778" s="17"/>
      <c r="AP778" s="17"/>
      <c r="AQ778" s="17"/>
    </row>
    <row r="779" spans="24:43" x14ac:dyDescent="0.45">
      <c r="X779" s="2"/>
      <c r="Y779" s="2"/>
      <c r="AC779" s="13"/>
      <c r="AD779" s="13"/>
      <c r="AE779" s="13"/>
      <c r="AF779" s="17"/>
      <c r="AH779" s="2"/>
      <c r="AL779" s="17"/>
      <c r="AM779" s="17"/>
      <c r="AN779" s="17"/>
      <c r="AO779" s="17"/>
      <c r="AP779" s="17"/>
      <c r="AQ779" s="17"/>
    </row>
    <row r="780" spans="24:43" x14ac:dyDescent="0.45">
      <c r="X780" s="2"/>
      <c r="Y780" s="2"/>
      <c r="AC780" s="13"/>
      <c r="AD780" s="13"/>
      <c r="AE780" s="13"/>
      <c r="AF780" s="17"/>
      <c r="AH780" s="2"/>
      <c r="AL780" s="17"/>
      <c r="AM780" s="17"/>
      <c r="AN780" s="17"/>
      <c r="AO780" s="17"/>
      <c r="AP780" s="17"/>
      <c r="AQ780" s="17"/>
    </row>
    <row r="781" spans="24:43" x14ac:dyDescent="0.45">
      <c r="X781" s="2"/>
      <c r="Y781" s="2"/>
      <c r="AC781" s="13"/>
      <c r="AD781" s="13"/>
      <c r="AE781" s="13"/>
      <c r="AF781" s="17"/>
      <c r="AH781" s="2"/>
      <c r="AL781" s="17"/>
      <c r="AM781" s="17"/>
      <c r="AN781" s="17"/>
      <c r="AO781" s="17"/>
      <c r="AP781" s="17"/>
      <c r="AQ781" s="17"/>
    </row>
    <row r="782" spans="24:43" x14ac:dyDescent="0.45">
      <c r="X782" s="2"/>
      <c r="Y782" s="2"/>
      <c r="AC782" s="13"/>
      <c r="AD782" s="13"/>
      <c r="AE782" s="13"/>
      <c r="AF782" s="17"/>
      <c r="AH782" s="2"/>
      <c r="AL782" s="17"/>
      <c r="AM782" s="17"/>
      <c r="AN782" s="17"/>
      <c r="AO782" s="17"/>
      <c r="AP782" s="17"/>
      <c r="AQ782" s="17"/>
    </row>
    <row r="783" spans="24:43" x14ac:dyDescent="0.45">
      <c r="X783" s="2"/>
      <c r="Y783" s="2"/>
      <c r="AC783" s="13"/>
      <c r="AD783" s="13"/>
      <c r="AE783" s="13"/>
      <c r="AF783" s="17"/>
      <c r="AH783" s="2"/>
      <c r="AL783" s="17"/>
      <c r="AM783" s="17"/>
      <c r="AN783" s="17"/>
      <c r="AO783" s="17"/>
      <c r="AP783" s="17"/>
      <c r="AQ783" s="17"/>
    </row>
    <row r="784" spans="24:43" x14ac:dyDescent="0.45">
      <c r="X784" s="2"/>
      <c r="Y784" s="2"/>
      <c r="AC784" s="13"/>
      <c r="AD784" s="13"/>
      <c r="AE784" s="13"/>
      <c r="AF784" s="17"/>
      <c r="AH784" s="2"/>
      <c r="AL784" s="17"/>
      <c r="AM784" s="17"/>
      <c r="AN784" s="17"/>
      <c r="AO784" s="17"/>
      <c r="AP784" s="17"/>
      <c r="AQ784" s="17"/>
    </row>
    <row r="785" spans="24:43" x14ac:dyDescent="0.45">
      <c r="X785" s="2"/>
      <c r="Y785" s="2"/>
      <c r="AC785" s="13"/>
      <c r="AD785" s="13"/>
      <c r="AE785" s="13"/>
      <c r="AF785" s="17"/>
      <c r="AH785" s="2"/>
      <c r="AL785" s="17"/>
      <c r="AM785" s="17"/>
      <c r="AN785" s="17"/>
      <c r="AO785" s="17"/>
      <c r="AP785" s="17"/>
      <c r="AQ785" s="17"/>
    </row>
    <row r="786" spans="24:43" x14ac:dyDescent="0.45">
      <c r="X786" s="2"/>
      <c r="Y786" s="2"/>
      <c r="AC786" s="13"/>
      <c r="AD786" s="13"/>
      <c r="AE786" s="13"/>
      <c r="AF786" s="17"/>
      <c r="AH786" s="2"/>
      <c r="AL786" s="17"/>
      <c r="AM786" s="17"/>
      <c r="AN786" s="17"/>
      <c r="AO786" s="17"/>
      <c r="AP786" s="17"/>
      <c r="AQ786" s="17"/>
    </row>
    <row r="787" spans="24:43" x14ac:dyDescent="0.45">
      <c r="X787" s="2"/>
      <c r="Y787" s="2"/>
      <c r="AC787" s="13"/>
      <c r="AD787" s="13"/>
      <c r="AE787" s="13"/>
      <c r="AF787" s="17"/>
      <c r="AH787" s="2"/>
      <c r="AL787" s="17"/>
      <c r="AM787" s="17"/>
      <c r="AN787" s="17"/>
      <c r="AO787" s="17"/>
      <c r="AP787" s="17"/>
      <c r="AQ787" s="17"/>
    </row>
    <row r="788" spans="24:43" x14ac:dyDescent="0.45">
      <c r="X788" s="2"/>
      <c r="Y788" s="2"/>
      <c r="AC788" s="13"/>
      <c r="AD788" s="13"/>
      <c r="AE788" s="13"/>
      <c r="AF788" s="17"/>
      <c r="AH788" s="2"/>
      <c r="AL788" s="17"/>
      <c r="AM788" s="17"/>
      <c r="AN788" s="17"/>
      <c r="AO788" s="17"/>
      <c r="AP788" s="17"/>
      <c r="AQ788" s="17"/>
    </row>
    <row r="789" spans="24:43" x14ac:dyDescent="0.45">
      <c r="X789" s="2"/>
      <c r="Y789" s="2"/>
      <c r="AC789" s="13"/>
      <c r="AD789" s="13"/>
      <c r="AE789" s="13"/>
      <c r="AF789" s="17"/>
      <c r="AH789" s="2"/>
      <c r="AL789" s="17"/>
      <c r="AM789" s="17"/>
      <c r="AN789" s="17"/>
      <c r="AO789" s="17"/>
      <c r="AP789" s="17"/>
      <c r="AQ789" s="17"/>
    </row>
    <row r="790" spans="24:43" x14ac:dyDescent="0.45">
      <c r="X790" s="2"/>
      <c r="Y790" s="2"/>
      <c r="AC790" s="13"/>
      <c r="AD790" s="13"/>
      <c r="AE790" s="13"/>
      <c r="AF790" s="17"/>
      <c r="AH790" s="2"/>
      <c r="AL790" s="17"/>
      <c r="AM790" s="17"/>
      <c r="AN790" s="17"/>
      <c r="AO790" s="17"/>
      <c r="AP790" s="17"/>
      <c r="AQ790" s="17"/>
    </row>
    <row r="791" spans="24:43" x14ac:dyDescent="0.45">
      <c r="X791" s="2"/>
      <c r="Y791" s="2"/>
      <c r="AC791" s="13"/>
      <c r="AD791" s="13"/>
      <c r="AE791" s="13"/>
      <c r="AF791" s="17"/>
      <c r="AH791" s="2"/>
      <c r="AL791" s="17"/>
      <c r="AM791" s="17"/>
      <c r="AN791" s="17"/>
      <c r="AO791" s="17"/>
      <c r="AP791" s="17"/>
      <c r="AQ791" s="17"/>
    </row>
    <row r="792" spans="24:43" x14ac:dyDescent="0.45">
      <c r="X792" s="2"/>
      <c r="Y792" s="2"/>
      <c r="AC792" s="13"/>
      <c r="AD792" s="13"/>
      <c r="AE792" s="13"/>
      <c r="AF792" s="17"/>
      <c r="AH792" s="2"/>
      <c r="AL792" s="17"/>
      <c r="AM792" s="17"/>
      <c r="AN792" s="17"/>
      <c r="AO792" s="17"/>
      <c r="AP792" s="17"/>
      <c r="AQ792" s="17"/>
    </row>
    <row r="793" spans="24:43" x14ac:dyDescent="0.45">
      <c r="X793" s="2"/>
      <c r="Y793" s="2"/>
      <c r="AC793" s="13"/>
      <c r="AD793" s="13"/>
      <c r="AE793" s="13"/>
      <c r="AF793" s="17"/>
      <c r="AH793" s="2"/>
      <c r="AL793" s="17"/>
      <c r="AM793" s="17"/>
      <c r="AN793" s="17"/>
      <c r="AO793" s="17"/>
      <c r="AP793" s="17"/>
      <c r="AQ793" s="17"/>
    </row>
    <row r="794" spans="24:43" x14ac:dyDescent="0.45">
      <c r="X794" s="2"/>
      <c r="Y794" s="2"/>
      <c r="AC794" s="13"/>
      <c r="AD794" s="13"/>
      <c r="AE794" s="13"/>
      <c r="AF794" s="17"/>
      <c r="AH794" s="2"/>
      <c r="AL794" s="17"/>
      <c r="AM794" s="17"/>
      <c r="AN794" s="17"/>
      <c r="AO794" s="17"/>
      <c r="AP794" s="17"/>
      <c r="AQ794" s="17"/>
    </row>
    <row r="795" spans="24:43" x14ac:dyDescent="0.45">
      <c r="X795" s="2"/>
      <c r="Y795" s="2"/>
      <c r="AC795" s="13"/>
      <c r="AD795" s="13"/>
      <c r="AE795" s="13"/>
      <c r="AF795" s="17"/>
      <c r="AH795" s="2"/>
      <c r="AL795" s="17"/>
      <c r="AM795" s="17"/>
      <c r="AN795" s="17"/>
      <c r="AO795" s="17"/>
      <c r="AP795" s="17"/>
      <c r="AQ795" s="17"/>
    </row>
    <row r="796" spans="24:43" x14ac:dyDescent="0.45">
      <c r="X796" s="2"/>
      <c r="Y796" s="2"/>
      <c r="AC796" s="13"/>
      <c r="AD796" s="13"/>
      <c r="AE796" s="13"/>
      <c r="AF796" s="17"/>
      <c r="AH796" s="2"/>
      <c r="AL796" s="17"/>
      <c r="AM796" s="17"/>
      <c r="AN796" s="17"/>
      <c r="AO796" s="17"/>
      <c r="AP796" s="17"/>
      <c r="AQ796" s="17"/>
    </row>
    <row r="797" spans="24:43" x14ac:dyDescent="0.45">
      <c r="X797" s="2"/>
      <c r="Y797" s="2"/>
      <c r="AC797" s="13"/>
      <c r="AD797" s="13"/>
      <c r="AE797" s="13"/>
      <c r="AF797" s="17"/>
      <c r="AH797" s="2"/>
      <c r="AL797" s="17"/>
      <c r="AM797" s="17"/>
      <c r="AN797" s="17"/>
      <c r="AO797" s="17"/>
      <c r="AP797" s="17"/>
      <c r="AQ797" s="17"/>
    </row>
    <row r="798" spans="24:43" x14ac:dyDescent="0.45">
      <c r="X798" s="2"/>
      <c r="Y798" s="2"/>
      <c r="AC798" s="13"/>
      <c r="AD798" s="13"/>
      <c r="AE798" s="13"/>
      <c r="AF798" s="17"/>
      <c r="AH798" s="2"/>
      <c r="AL798" s="17"/>
      <c r="AM798" s="17"/>
      <c r="AN798" s="17"/>
      <c r="AO798" s="17"/>
      <c r="AP798" s="17"/>
      <c r="AQ798" s="17"/>
    </row>
    <row r="799" spans="24:43" x14ac:dyDescent="0.45">
      <c r="X799" s="2"/>
      <c r="Y799" s="2"/>
      <c r="AC799" s="13"/>
      <c r="AD799" s="13"/>
      <c r="AE799" s="13"/>
      <c r="AF799" s="17"/>
      <c r="AH799" s="2"/>
      <c r="AL799" s="17"/>
      <c r="AM799" s="17"/>
      <c r="AN799" s="17"/>
      <c r="AO799" s="17"/>
      <c r="AP799" s="17"/>
      <c r="AQ799" s="17"/>
    </row>
    <row r="800" spans="24:43" x14ac:dyDescent="0.45">
      <c r="X800" s="2"/>
      <c r="Y800" s="2"/>
      <c r="AC800" s="13"/>
      <c r="AD800" s="13"/>
      <c r="AE800" s="13"/>
      <c r="AF800" s="17"/>
      <c r="AH800" s="2"/>
      <c r="AL800" s="17"/>
      <c r="AM800" s="17"/>
      <c r="AN800" s="17"/>
      <c r="AO800" s="17"/>
      <c r="AP800" s="17"/>
      <c r="AQ800" s="17"/>
    </row>
    <row r="801" spans="24:43" x14ac:dyDescent="0.45">
      <c r="X801" s="2"/>
      <c r="Y801" s="2"/>
      <c r="AC801" s="13"/>
      <c r="AD801" s="13"/>
      <c r="AE801" s="13"/>
      <c r="AF801" s="17"/>
      <c r="AH801" s="2"/>
      <c r="AL801" s="17"/>
      <c r="AM801" s="17"/>
      <c r="AN801" s="17"/>
      <c r="AO801" s="17"/>
      <c r="AP801" s="17"/>
      <c r="AQ801" s="17"/>
    </row>
    <row r="802" spans="24:43" x14ac:dyDescent="0.45">
      <c r="X802" s="2"/>
      <c r="Y802" s="2"/>
      <c r="AC802" s="13"/>
      <c r="AD802" s="13"/>
      <c r="AE802" s="13"/>
      <c r="AF802" s="17"/>
      <c r="AH802" s="2"/>
      <c r="AL802" s="17"/>
      <c r="AM802" s="17"/>
      <c r="AN802" s="17"/>
      <c r="AO802" s="17"/>
      <c r="AP802" s="17"/>
      <c r="AQ802" s="17"/>
    </row>
    <row r="803" spans="24:43" x14ac:dyDescent="0.45">
      <c r="X803" s="2"/>
      <c r="Y803" s="2"/>
      <c r="AC803" s="13"/>
      <c r="AD803" s="13"/>
      <c r="AE803" s="13"/>
      <c r="AF803" s="17"/>
      <c r="AH803" s="2"/>
      <c r="AL803" s="17"/>
      <c r="AM803" s="17"/>
      <c r="AN803" s="17"/>
      <c r="AO803" s="17"/>
      <c r="AP803" s="17"/>
      <c r="AQ803" s="17"/>
    </row>
    <row r="804" spans="24:43" x14ac:dyDescent="0.45">
      <c r="X804" s="2"/>
      <c r="Y804" s="2"/>
      <c r="AC804" s="13"/>
      <c r="AD804" s="13"/>
      <c r="AE804" s="13"/>
      <c r="AF804" s="17"/>
      <c r="AH804" s="2"/>
      <c r="AL804" s="17"/>
      <c r="AM804" s="17"/>
      <c r="AN804" s="17"/>
      <c r="AO804" s="17"/>
      <c r="AP804" s="17"/>
      <c r="AQ804" s="17"/>
    </row>
    <row r="805" spans="24:43" x14ac:dyDescent="0.45">
      <c r="X805" s="2"/>
      <c r="Y805" s="2"/>
      <c r="AC805" s="13"/>
      <c r="AD805" s="13"/>
      <c r="AE805" s="13"/>
      <c r="AF805" s="17"/>
      <c r="AH805" s="2"/>
      <c r="AL805" s="17"/>
      <c r="AM805" s="17"/>
      <c r="AN805" s="17"/>
      <c r="AO805" s="17"/>
      <c r="AP805" s="17"/>
      <c r="AQ805" s="17"/>
    </row>
    <row r="806" spans="24:43" x14ac:dyDescent="0.45">
      <c r="X806" s="2"/>
      <c r="Y806" s="2"/>
      <c r="AC806" s="13"/>
      <c r="AD806" s="13"/>
      <c r="AE806" s="13"/>
      <c r="AF806" s="17"/>
      <c r="AH806" s="2"/>
      <c r="AL806" s="17"/>
      <c r="AM806" s="17"/>
      <c r="AN806" s="17"/>
      <c r="AO806" s="17"/>
      <c r="AP806" s="17"/>
      <c r="AQ806" s="17"/>
    </row>
    <row r="807" spans="24:43" x14ac:dyDescent="0.45">
      <c r="X807" s="2"/>
      <c r="Y807" s="2"/>
      <c r="AC807" s="13"/>
      <c r="AD807" s="13"/>
      <c r="AE807" s="13"/>
      <c r="AF807" s="17"/>
      <c r="AH807" s="2"/>
      <c r="AL807" s="17"/>
      <c r="AM807" s="17"/>
      <c r="AN807" s="17"/>
      <c r="AO807" s="17"/>
      <c r="AP807" s="17"/>
      <c r="AQ807" s="17"/>
    </row>
    <row r="808" spans="24:43" x14ac:dyDescent="0.45">
      <c r="X808" s="2"/>
      <c r="Y808" s="2"/>
      <c r="AC808" s="13"/>
      <c r="AD808" s="13"/>
      <c r="AE808" s="13"/>
      <c r="AF808" s="17"/>
      <c r="AH808" s="2"/>
      <c r="AL808" s="17"/>
      <c r="AM808" s="17"/>
      <c r="AN808" s="17"/>
      <c r="AO808" s="17"/>
      <c r="AP808" s="17"/>
      <c r="AQ808" s="17"/>
    </row>
    <row r="809" spans="24:43" x14ac:dyDescent="0.45">
      <c r="X809" s="2"/>
      <c r="Y809" s="2"/>
      <c r="AC809" s="13"/>
      <c r="AD809" s="13"/>
      <c r="AE809" s="13"/>
      <c r="AF809" s="17"/>
      <c r="AH809" s="2"/>
      <c r="AL809" s="17"/>
      <c r="AM809" s="17"/>
      <c r="AN809" s="17"/>
      <c r="AO809" s="17"/>
      <c r="AP809" s="17"/>
      <c r="AQ809" s="17"/>
    </row>
    <row r="810" spans="24:43" x14ac:dyDescent="0.45">
      <c r="X810" s="2"/>
      <c r="Y810" s="2"/>
      <c r="AC810" s="13"/>
      <c r="AD810" s="13"/>
      <c r="AE810" s="13"/>
      <c r="AF810" s="17"/>
      <c r="AH810" s="2"/>
      <c r="AL810" s="17"/>
      <c r="AM810" s="17"/>
      <c r="AN810" s="17"/>
      <c r="AO810" s="17"/>
      <c r="AP810" s="17"/>
      <c r="AQ810" s="17"/>
    </row>
    <row r="811" spans="24:43" x14ac:dyDescent="0.45">
      <c r="X811" s="2"/>
      <c r="Y811" s="2"/>
      <c r="AC811" s="13"/>
      <c r="AD811" s="13"/>
      <c r="AE811" s="13"/>
      <c r="AF811" s="17"/>
      <c r="AH811" s="2"/>
      <c r="AL811" s="17"/>
      <c r="AM811" s="17"/>
      <c r="AN811" s="17"/>
      <c r="AO811" s="17"/>
      <c r="AP811" s="17"/>
      <c r="AQ811" s="17"/>
    </row>
    <row r="812" spans="24:43" x14ac:dyDescent="0.45">
      <c r="X812" s="2"/>
      <c r="Y812" s="2"/>
      <c r="AC812" s="13"/>
      <c r="AD812" s="13"/>
      <c r="AE812" s="13"/>
      <c r="AF812" s="17"/>
      <c r="AH812" s="2"/>
      <c r="AL812" s="17"/>
      <c r="AM812" s="17"/>
      <c r="AN812" s="17"/>
      <c r="AO812" s="17"/>
      <c r="AP812" s="17"/>
      <c r="AQ812" s="17"/>
    </row>
    <row r="813" spans="24:43" x14ac:dyDescent="0.45">
      <c r="X813" s="2"/>
      <c r="Y813" s="2"/>
      <c r="AC813" s="13"/>
      <c r="AD813" s="13"/>
      <c r="AE813" s="13"/>
      <c r="AF813" s="17"/>
      <c r="AH813" s="2"/>
      <c r="AL813" s="17"/>
      <c r="AM813" s="17"/>
      <c r="AN813" s="17"/>
      <c r="AO813" s="17"/>
      <c r="AP813" s="17"/>
      <c r="AQ813" s="17"/>
    </row>
    <row r="814" spans="24:43" x14ac:dyDescent="0.45">
      <c r="X814" s="2"/>
      <c r="Y814" s="2"/>
      <c r="AC814" s="13"/>
      <c r="AD814" s="13"/>
      <c r="AE814" s="13"/>
      <c r="AF814" s="17"/>
      <c r="AH814" s="2"/>
      <c r="AL814" s="17"/>
      <c r="AM814" s="17"/>
      <c r="AN814" s="17"/>
      <c r="AO814" s="17"/>
      <c r="AP814" s="17"/>
      <c r="AQ814" s="17"/>
    </row>
    <row r="815" spans="24:43" x14ac:dyDescent="0.45">
      <c r="X815" s="2"/>
      <c r="Y815" s="2"/>
      <c r="AC815" s="13"/>
      <c r="AD815" s="13"/>
      <c r="AE815" s="13"/>
      <c r="AF815" s="17"/>
      <c r="AH815" s="2"/>
      <c r="AL815" s="17"/>
      <c r="AM815" s="17"/>
      <c r="AN815" s="17"/>
      <c r="AO815" s="17"/>
      <c r="AP815" s="17"/>
      <c r="AQ815" s="17"/>
    </row>
    <row r="816" spans="24:43" x14ac:dyDescent="0.45">
      <c r="X816" s="2"/>
      <c r="Y816" s="2"/>
      <c r="AC816" s="13"/>
      <c r="AD816" s="13"/>
      <c r="AE816" s="13"/>
      <c r="AF816" s="17"/>
      <c r="AH816" s="2"/>
      <c r="AL816" s="17"/>
      <c r="AM816" s="17"/>
      <c r="AN816" s="17"/>
      <c r="AO816" s="17"/>
      <c r="AP816" s="17"/>
      <c r="AQ816" s="17"/>
    </row>
    <row r="817" spans="24:43" x14ac:dyDescent="0.45">
      <c r="X817" s="2"/>
      <c r="Y817" s="2"/>
      <c r="AC817" s="13"/>
      <c r="AD817" s="13"/>
      <c r="AE817" s="13"/>
      <c r="AF817" s="17"/>
      <c r="AH817" s="2"/>
      <c r="AL817" s="17"/>
      <c r="AM817" s="17"/>
      <c r="AN817" s="17"/>
      <c r="AO817" s="17"/>
      <c r="AP817" s="17"/>
      <c r="AQ817" s="17"/>
    </row>
    <row r="818" spans="24:43" x14ac:dyDescent="0.45">
      <c r="X818" s="2"/>
      <c r="Y818" s="2"/>
      <c r="AC818" s="13"/>
      <c r="AD818" s="13"/>
      <c r="AE818" s="13"/>
      <c r="AF818" s="17"/>
      <c r="AH818" s="2"/>
      <c r="AL818" s="17"/>
      <c r="AM818" s="17"/>
      <c r="AN818" s="17"/>
      <c r="AO818" s="17"/>
      <c r="AP818" s="17"/>
      <c r="AQ818" s="17"/>
    </row>
    <row r="819" spans="24:43" x14ac:dyDescent="0.45">
      <c r="X819" s="2"/>
      <c r="Y819" s="2"/>
      <c r="AC819" s="13"/>
      <c r="AD819" s="13"/>
      <c r="AE819" s="13"/>
      <c r="AF819" s="17"/>
      <c r="AH819" s="2"/>
      <c r="AL819" s="17"/>
      <c r="AM819" s="17"/>
      <c r="AN819" s="17"/>
      <c r="AO819" s="17"/>
      <c r="AP819" s="17"/>
      <c r="AQ819" s="17"/>
    </row>
    <row r="820" spans="24:43" x14ac:dyDescent="0.45">
      <c r="X820" s="2"/>
      <c r="Y820" s="2"/>
      <c r="AC820" s="13"/>
      <c r="AD820" s="13"/>
      <c r="AE820" s="13"/>
      <c r="AF820" s="17"/>
      <c r="AH820" s="2"/>
      <c r="AL820" s="17"/>
      <c r="AM820" s="17"/>
      <c r="AN820" s="17"/>
      <c r="AO820" s="17"/>
      <c r="AP820" s="17"/>
      <c r="AQ820" s="17"/>
    </row>
    <row r="821" spans="24:43" x14ac:dyDescent="0.45">
      <c r="X821" s="2"/>
      <c r="Y821" s="2"/>
      <c r="AC821" s="13"/>
      <c r="AD821" s="13"/>
      <c r="AE821" s="13"/>
      <c r="AF821" s="17"/>
      <c r="AH821" s="2"/>
      <c r="AL821" s="17"/>
      <c r="AM821" s="17"/>
      <c r="AN821" s="17"/>
      <c r="AO821" s="17"/>
      <c r="AP821" s="17"/>
      <c r="AQ821" s="17"/>
    </row>
    <row r="822" spans="24:43" x14ac:dyDescent="0.45">
      <c r="X822" s="2"/>
      <c r="Y822" s="2"/>
      <c r="AC822" s="13"/>
      <c r="AD822" s="13"/>
      <c r="AE822" s="13"/>
      <c r="AF822" s="17"/>
      <c r="AH822" s="2"/>
      <c r="AL822" s="17"/>
      <c r="AM822" s="17"/>
      <c r="AN822" s="17"/>
      <c r="AO822" s="17"/>
      <c r="AP822" s="17"/>
      <c r="AQ822" s="17"/>
    </row>
    <row r="823" spans="24:43" x14ac:dyDescent="0.45">
      <c r="X823" s="2"/>
      <c r="Y823" s="2"/>
      <c r="AC823" s="13"/>
      <c r="AD823" s="13"/>
      <c r="AE823" s="13"/>
      <c r="AF823" s="17"/>
      <c r="AH823" s="2"/>
      <c r="AL823" s="17"/>
      <c r="AM823" s="17"/>
      <c r="AN823" s="17"/>
      <c r="AO823" s="17"/>
      <c r="AP823" s="17"/>
      <c r="AQ823" s="17"/>
    </row>
    <row r="824" spans="24:43" x14ac:dyDescent="0.45">
      <c r="X824" s="2"/>
      <c r="Y824" s="2"/>
      <c r="AC824" s="13"/>
      <c r="AD824" s="13"/>
      <c r="AE824" s="13"/>
      <c r="AF824" s="17"/>
      <c r="AH824" s="2"/>
      <c r="AL824" s="17"/>
      <c r="AM824" s="17"/>
      <c r="AN824" s="17"/>
      <c r="AO824" s="17"/>
      <c r="AP824" s="17"/>
      <c r="AQ824" s="17"/>
    </row>
    <row r="825" spans="24:43" x14ac:dyDescent="0.45">
      <c r="X825" s="2"/>
      <c r="Y825" s="2"/>
      <c r="AC825" s="13"/>
      <c r="AD825" s="13"/>
      <c r="AE825" s="13"/>
      <c r="AF825" s="17"/>
      <c r="AH825" s="2"/>
      <c r="AL825" s="17"/>
      <c r="AM825" s="17"/>
      <c r="AN825" s="17"/>
      <c r="AO825" s="17"/>
      <c r="AP825" s="17"/>
      <c r="AQ825" s="17"/>
    </row>
    <row r="826" spans="24:43" x14ac:dyDescent="0.45">
      <c r="X826" s="2"/>
      <c r="Y826" s="2"/>
      <c r="AC826" s="13"/>
      <c r="AD826" s="13"/>
      <c r="AE826" s="13"/>
      <c r="AF826" s="17"/>
      <c r="AH826" s="2"/>
      <c r="AL826" s="17"/>
      <c r="AM826" s="17"/>
      <c r="AN826" s="17"/>
      <c r="AO826" s="17"/>
      <c r="AP826" s="17"/>
      <c r="AQ826" s="17"/>
    </row>
    <row r="827" spans="24:43" x14ac:dyDescent="0.45">
      <c r="X827" s="2"/>
      <c r="Y827" s="2"/>
      <c r="AC827" s="13"/>
      <c r="AD827" s="13"/>
      <c r="AE827" s="13"/>
      <c r="AF827" s="17"/>
      <c r="AH827" s="2"/>
      <c r="AL827" s="17"/>
      <c r="AM827" s="17"/>
      <c r="AN827" s="17"/>
      <c r="AO827" s="17"/>
      <c r="AP827" s="17"/>
      <c r="AQ827" s="17"/>
    </row>
    <row r="828" spans="24:43" x14ac:dyDescent="0.45">
      <c r="X828" s="2"/>
      <c r="Y828" s="2"/>
      <c r="AC828" s="13"/>
      <c r="AD828" s="13"/>
      <c r="AE828" s="13"/>
      <c r="AF828" s="17"/>
      <c r="AH828" s="2"/>
      <c r="AL828" s="17"/>
      <c r="AM828" s="17"/>
      <c r="AN828" s="17"/>
      <c r="AO828" s="17"/>
      <c r="AP828" s="17"/>
      <c r="AQ828" s="17"/>
    </row>
    <row r="829" spans="24:43" x14ac:dyDescent="0.45">
      <c r="X829" s="2"/>
      <c r="Y829" s="2"/>
      <c r="AC829" s="13"/>
      <c r="AD829" s="13"/>
      <c r="AE829" s="13"/>
      <c r="AF829" s="17"/>
      <c r="AH829" s="2"/>
      <c r="AL829" s="17"/>
      <c r="AM829" s="17"/>
      <c r="AN829" s="17"/>
      <c r="AO829" s="17"/>
      <c r="AP829" s="17"/>
      <c r="AQ829" s="17"/>
    </row>
    <row r="830" spans="24:43" x14ac:dyDescent="0.45">
      <c r="X830" s="2"/>
      <c r="Y830" s="2"/>
      <c r="AC830" s="13"/>
      <c r="AD830" s="13"/>
      <c r="AE830" s="13"/>
      <c r="AF830" s="17"/>
      <c r="AH830" s="2"/>
      <c r="AL830" s="17"/>
      <c r="AM830" s="17"/>
      <c r="AN830" s="17"/>
      <c r="AO830" s="17"/>
      <c r="AP830" s="17"/>
      <c r="AQ830" s="17"/>
    </row>
    <row r="831" spans="24:43" x14ac:dyDescent="0.45">
      <c r="X831" s="2"/>
      <c r="Y831" s="2"/>
      <c r="AC831" s="13"/>
      <c r="AD831" s="13"/>
      <c r="AE831" s="13"/>
      <c r="AF831" s="17"/>
      <c r="AH831" s="2"/>
      <c r="AL831" s="17"/>
      <c r="AM831" s="17"/>
      <c r="AN831" s="17"/>
      <c r="AO831" s="17"/>
      <c r="AP831" s="17"/>
      <c r="AQ831" s="17"/>
    </row>
    <row r="832" spans="24:43" x14ac:dyDescent="0.45">
      <c r="X832" s="2"/>
      <c r="Y832" s="2"/>
      <c r="AC832" s="13"/>
      <c r="AD832" s="13"/>
      <c r="AE832" s="13"/>
      <c r="AF832" s="17"/>
      <c r="AH832" s="2"/>
      <c r="AL832" s="17"/>
      <c r="AM832" s="17"/>
      <c r="AN832" s="17"/>
      <c r="AO832" s="17"/>
      <c r="AP832" s="17"/>
      <c r="AQ832" s="17"/>
    </row>
    <row r="833" spans="24:43" x14ac:dyDescent="0.45">
      <c r="X833" s="2"/>
      <c r="Y833" s="2"/>
      <c r="AC833" s="13"/>
      <c r="AD833" s="13"/>
      <c r="AE833" s="13"/>
      <c r="AF833" s="17"/>
      <c r="AH833" s="2"/>
      <c r="AL833" s="17"/>
      <c r="AM833" s="17"/>
      <c r="AN833" s="17"/>
      <c r="AO833" s="17"/>
      <c r="AP833" s="17"/>
      <c r="AQ833" s="17"/>
    </row>
    <row r="834" spans="24:43" x14ac:dyDescent="0.45">
      <c r="X834" s="2"/>
      <c r="Y834" s="2"/>
      <c r="AC834" s="13"/>
      <c r="AD834" s="13"/>
      <c r="AE834" s="13"/>
      <c r="AF834" s="17"/>
      <c r="AH834" s="2"/>
      <c r="AL834" s="17"/>
      <c r="AM834" s="17"/>
      <c r="AN834" s="17"/>
      <c r="AO834" s="17"/>
      <c r="AP834" s="17"/>
      <c r="AQ834" s="17"/>
    </row>
    <row r="835" spans="24:43" x14ac:dyDescent="0.45">
      <c r="X835" s="2"/>
      <c r="Y835" s="2"/>
      <c r="AC835" s="13"/>
      <c r="AD835" s="13"/>
      <c r="AE835" s="13"/>
      <c r="AF835" s="17"/>
      <c r="AH835" s="2"/>
      <c r="AL835" s="17"/>
      <c r="AM835" s="17"/>
      <c r="AN835" s="17"/>
      <c r="AO835" s="17"/>
      <c r="AP835" s="17"/>
      <c r="AQ835" s="17"/>
    </row>
    <row r="836" spans="24:43" x14ac:dyDescent="0.45">
      <c r="X836" s="2"/>
      <c r="Y836" s="2"/>
      <c r="AC836" s="13"/>
      <c r="AD836" s="13"/>
      <c r="AE836" s="13"/>
      <c r="AF836" s="17"/>
      <c r="AH836" s="2"/>
      <c r="AL836" s="17"/>
      <c r="AM836" s="17"/>
      <c r="AN836" s="17"/>
      <c r="AO836" s="17"/>
      <c r="AP836" s="17"/>
      <c r="AQ836" s="17"/>
    </row>
    <row r="837" spans="24:43" x14ac:dyDescent="0.45">
      <c r="X837" s="2"/>
      <c r="Y837" s="2"/>
      <c r="AC837" s="13"/>
      <c r="AD837" s="13"/>
      <c r="AE837" s="13"/>
      <c r="AF837" s="17"/>
      <c r="AH837" s="2"/>
      <c r="AL837" s="17"/>
      <c r="AM837" s="17"/>
      <c r="AN837" s="17"/>
      <c r="AO837" s="17"/>
      <c r="AP837" s="17"/>
      <c r="AQ837" s="17"/>
    </row>
    <row r="838" spans="24:43" x14ac:dyDescent="0.45">
      <c r="X838" s="2"/>
      <c r="Y838" s="2"/>
      <c r="AC838" s="13"/>
      <c r="AD838" s="13"/>
      <c r="AE838" s="13"/>
      <c r="AF838" s="17"/>
      <c r="AH838" s="2"/>
      <c r="AL838" s="17"/>
      <c r="AM838" s="17"/>
      <c r="AN838" s="17"/>
      <c r="AO838" s="17"/>
      <c r="AP838" s="17"/>
      <c r="AQ838" s="17"/>
    </row>
    <row r="839" spans="24:43" x14ac:dyDescent="0.45">
      <c r="X839" s="2"/>
      <c r="Y839" s="2"/>
      <c r="AC839" s="13"/>
      <c r="AD839" s="13"/>
      <c r="AE839" s="13"/>
      <c r="AF839" s="17"/>
      <c r="AH839" s="2"/>
      <c r="AL839" s="17"/>
      <c r="AM839" s="17"/>
      <c r="AN839" s="17"/>
      <c r="AO839" s="17"/>
      <c r="AP839" s="17"/>
      <c r="AQ839" s="17"/>
    </row>
    <row r="840" spans="24:43" x14ac:dyDescent="0.45">
      <c r="X840" s="2"/>
      <c r="Y840" s="2"/>
      <c r="AC840" s="13"/>
      <c r="AD840" s="13"/>
      <c r="AE840" s="13"/>
      <c r="AF840" s="17"/>
      <c r="AH840" s="2"/>
      <c r="AL840" s="17"/>
      <c r="AM840" s="17"/>
      <c r="AN840" s="17"/>
      <c r="AO840" s="17"/>
      <c r="AP840" s="17"/>
      <c r="AQ840" s="17"/>
    </row>
    <row r="841" spans="24:43" x14ac:dyDescent="0.45">
      <c r="X841" s="2"/>
      <c r="Y841" s="2"/>
      <c r="AC841" s="13"/>
      <c r="AD841" s="13"/>
      <c r="AE841" s="13"/>
      <c r="AF841" s="17"/>
      <c r="AH841" s="2"/>
      <c r="AL841" s="17"/>
      <c r="AM841" s="17"/>
      <c r="AN841" s="17"/>
      <c r="AO841" s="17"/>
      <c r="AP841" s="17"/>
      <c r="AQ841" s="17"/>
    </row>
    <row r="842" spans="24:43" x14ac:dyDescent="0.45">
      <c r="X842" s="2"/>
      <c r="Y842" s="2"/>
      <c r="AC842" s="13"/>
      <c r="AD842" s="13"/>
      <c r="AE842" s="13"/>
      <c r="AF842" s="17"/>
      <c r="AH842" s="2"/>
      <c r="AL842" s="17"/>
      <c r="AM842" s="17"/>
      <c r="AN842" s="17"/>
      <c r="AO842" s="17"/>
      <c r="AP842" s="17"/>
      <c r="AQ842" s="17"/>
    </row>
    <row r="843" spans="24:43" x14ac:dyDescent="0.45">
      <c r="X843" s="2"/>
      <c r="Y843" s="2"/>
      <c r="AC843" s="13"/>
      <c r="AD843" s="13"/>
      <c r="AE843" s="13"/>
      <c r="AF843" s="17"/>
      <c r="AH843" s="2"/>
      <c r="AL843" s="17"/>
      <c r="AM843" s="17"/>
      <c r="AN843" s="17"/>
      <c r="AO843" s="17"/>
      <c r="AP843" s="17"/>
      <c r="AQ843" s="17"/>
    </row>
    <row r="844" spans="24:43" x14ac:dyDescent="0.45">
      <c r="X844" s="2"/>
      <c r="Y844" s="2"/>
      <c r="AC844" s="13"/>
      <c r="AD844" s="13"/>
      <c r="AE844" s="13"/>
      <c r="AF844" s="17"/>
      <c r="AH844" s="2"/>
      <c r="AL844" s="17"/>
      <c r="AM844" s="17"/>
      <c r="AN844" s="17"/>
      <c r="AO844" s="17"/>
      <c r="AP844" s="17"/>
      <c r="AQ844" s="17"/>
    </row>
    <row r="845" spans="24:43" x14ac:dyDescent="0.45">
      <c r="X845" s="2"/>
      <c r="Y845" s="2"/>
      <c r="AC845" s="13"/>
      <c r="AD845" s="13"/>
      <c r="AE845" s="13"/>
      <c r="AF845" s="17"/>
      <c r="AH845" s="2"/>
      <c r="AL845" s="17"/>
      <c r="AM845" s="17"/>
      <c r="AN845" s="17"/>
      <c r="AO845" s="17"/>
      <c r="AP845" s="17"/>
      <c r="AQ845" s="17"/>
    </row>
    <row r="846" spans="24:43" x14ac:dyDescent="0.45">
      <c r="X846" s="2"/>
      <c r="Y846" s="2"/>
      <c r="AC846" s="13"/>
      <c r="AD846" s="13"/>
      <c r="AE846" s="13"/>
      <c r="AF846" s="17"/>
      <c r="AH846" s="2"/>
      <c r="AL846" s="17"/>
      <c r="AM846" s="17"/>
      <c r="AN846" s="17"/>
      <c r="AO846" s="17"/>
      <c r="AP846" s="17"/>
      <c r="AQ846" s="17"/>
    </row>
    <row r="847" spans="24:43" x14ac:dyDescent="0.45">
      <c r="X847" s="2"/>
      <c r="Y847" s="2"/>
      <c r="AC847" s="13"/>
      <c r="AD847" s="13"/>
      <c r="AE847" s="13"/>
      <c r="AF847" s="17"/>
      <c r="AH847" s="2"/>
      <c r="AL847" s="17"/>
      <c r="AM847" s="17"/>
      <c r="AN847" s="17"/>
      <c r="AO847" s="17"/>
      <c r="AP847" s="17"/>
      <c r="AQ847" s="17"/>
    </row>
    <row r="848" spans="24:43" x14ac:dyDescent="0.45">
      <c r="X848" s="2"/>
      <c r="Y848" s="2"/>
      <c r="AC848" s="13"/>
      <c r="AD848" s="13"/>
      <c r="AE848" s="13"/>
      <c r="AF848" s="17"/>
      <c r="AH848" s="2"/>
      <c r="AL848" s="17"/>
      <c r="AM848" s="17"/>
      <c r="AN848" s="17"/>
      <c r="AO848" s="17"/>
      <c r="AP848" s="17"/>
      <c r="AQ848" s="17"/>
    </row>
    <row r="849" spans="24:43" x14ac:dyDescent="0.45">
      <c r="X849" s="2"/>
      <c r="Y849" s="2"/>
      <c r="AC849" s="13"/>
      <c r="AD849" s="13"/>
      <c r="AE849" s="13"/>
      <c r="AF849" s="17"/>
      <c r="AH849" s="2"/>
      <c r="AL849" s="17"/>
      <c r="AM849" s="17"/>
      <c r="AN849" s="17"/>
      <c r="AO849" s="17"/>
      <c r="AP849" s="17"/>
      <c r="AQ849" s="17"/>
    </row>
    <row r="850" spans="24:43" x14ac:dyDescent="0.45">
      <c r="X850" s="2"/>
      <c r="Y850" s="2"/>
      <c r="AC850" s="13"/>
      <c r="AD850" s="13"/>
      <c r="AE850" s="13"/>
      <c r="AF850" s="17"/>
      <c r="AH850" s="2"/>
      <c r="AL850" s="17"/>
      <c r="AM850" s="17"/>
      <c r="AN850" s="17"/>
      <c r="AO850" s="17"/>
      <c r="AP850" s="17"/>
      <c r="AQ850" s="17"/>
    </row>
    <row r="851" spans="24:43" x14ac:dyDescent="0.45">
      <c r="X851" s="2"/>
      <c r="Y851" s="2"/>
      <c r="AC851" s="13"/>
      <c r="AD851" s="13"/>
      <c r="AE851" s="13"/>
      <c r="AF851" s="17"/>
      <c r="AH851" s="2"/>
      <c r="AL851" s="17"/>
      <c r="AM851" s="17"/>
      <c r="AN851" s="17"/>
      <c r="AO851" s="17"/>
      <c r="AP851" s="17"/>
      <c r="AQ851" s="17"/>
    </row>
    <row r="852" spans="24:43" x14ac:dyDescent="0.45">
      <c r="X852" s="2"/>
      <c r="Y852" s="2"/>
      <c r="AC852" s="13"/>
      <c r="AD852" s="13"/>
      <c r="AE852" s="13"/>
      <c r="AF852" s="17"/>
      <c r="AH852" s="2"/>
      <c r="AL852" s="17"/>
      <c r="AM852" s="17"/>
      <c r="AN852" s="17"/>
      <c r="AO852" s="17"/>
      <c r="AP852" s="17"/>
      <c r="AQ852" s="17"/>
    </row>
    <row r="853" spans="24:43" x14ac:dyDescent="0.45">
      <c r="X853" s="2"/>
      <c r="Y853" s="2"/>
      <c r="AC853" s="13"/>
      <c r="AD853" s="13"/>
      <c r="AE853" s="13"/>
      <c r="AF853" s="17"/>
      <c r="AH853" s="2"/>
      <c r="AL853" s="17"/>
      <c r="AM853" s="17"/>
      <c r="AN853" s="17"/>
      <c r="AO853" s="17"/>
      <c r="AP853" s="17"/>
      <c r="AQ853" s="17"/>
    </row>
    <row r="854" spans="24:43" x14ac:dyDescent="0.45">
      <c r="X854" s="2"/>
      <c r="Y854" s="2"/>
      <c r="AC854" s="13"/>
      <c r="AD854" s="13"/>
      <c r="AE854" s="13"/>
      <c r="AF854" s="17"/>
      <c r="AH854" s="2"/>
      <c r="AL854" s="17"/>
      <c r="AM854" s="17"/>
      <c r="AN854" s="17"/>
      <c r="AO854" s="17"/>
      <c r="AP854" s="17"/>
      <c r="AQ854" s="17"/>
    </row>
    <row r="855" spans="24:43" x14ac:dyDescent="0.45">
      <c r="X855" s="2"/>
      <c r="Y855" s="2"/>
      <c r="AC855" s="13"/>
      <c r="AD855" s="13"/>
      <c r="AE855" s="13"/>
      <c r="AF855" s="17"/>
      <c r="AH855" s="2"/>
      <c r="AL855" s="17"/>
      <c r="AM855" s="17"/>
      <c r="AN855" s="17"/>
      <c r="AO855" s="17"/>
      <c r="AP855" s="17"/>
      <c r="AQ855" s="17"/>
    </row>
    <row r="856" spans="24:43" x14ac:dyDescent="0.45">
      <c r="X856" s="2"/>
      <c r="Y856" s="2"/>
      <c r="AC856" s="13"/>
      <c r="AD856" s="13"/>
      <c r="AE856" s="13"/>
      <c r="AF856" s="17"/>
      <c r="AH856" s="2"/>
      <c r="AL856" s="17"/>
      <c r="AM856" s="17"/>
      <c r="AN856" s="17"/>
      <c r="AO856" s="17"/>
      <c r="AP856" s="17"/>
      <c r="AQ856" s="17"/>
    </row>
    <row r="857" spans="24:43" x14ac:dyDescent="0.45">
      <c r="X857" s="2"/>
      <c r="Y857" s="2"/>
      <c r="AC857" s="13"/>
      <c r="AD857" s="13"/>
      <c r="AE857" s="13"/>
      <c r="AF857" s="17"/>
      <c r="AH857" s="2"/>
      <c r="AL857" s="17"/>
      <c r="AM857" s="17"/>
      <c r="AN857" s="17"/>
      <c r="AO857" s="17"/>
      <c r="AP857" s="17"/>
      <c r="AQ857" s="17"/>
    </row>
    <row r="858" spans="24:43" x14ac:dyDescent="0.45">
      <c r="X858" s="2"/>
      <c r="Y858" s="2"/>
      <c r="AC858" s="13"/>
      <c r="AD858" s="13"/>
      <c r="AE858" s="13"/>
      <c r="AF858" s="17"/>
      <c r="AH858" s="2"/>
      <c r="AL858" s="17"/>
      <c r="AM858" s="17"/>
      <c r="AN858" s="17"/>
      <c r="AO858" s="17"/>
      <c r="AP858" s="17"/>
      <c r="AQ858" s="17"/>
    </row>
    <row r="859" spans="24:43" x14ac:dyDescent="0.45">
      <c r="X859" s="2"/>
      <c r="Y859" s="2"/>
      <c r="AC859" s="13"/>
      <c r="AD859" s="13"/>
      <c r="AE859" s="13"/>
      <c r="AF859" s="17"/>
      <c r="AH859" s="2"/>
      <c r="AL859" s="17"/>
      <c r="AM859" s="17"/>
      <c r="AN859" s="17"/>
      <c r="AO859" s="17"/>
      <c r="AP859" s="17"/>
      <c r="AQ859" s="17"/>
    </row>
    <row r="860" spans="24:43" x14ac:dyDescent="0.45">
      <c r="X860" s="2"/>
      <c r="Y860" s="2"/>
      <c r="AC860" s="13"/>
      <c r="AD860" s="13"/>
      <c r="AE860" s="13"/>
      <c r="AF860" s="17"/>
      <c r="AH860" s="2"/>
      <c r="AL860" s="17"/>
      <c r="AM860" s="17"/>
      <c r="AN860" s="17"/>
      <c r="AO860" s="17"/>
      <c r="AP860" s="17"/>
      <c r="AQ860" s="17"/>
    </row>
    <row r="861" spans="24:43" x14ac:dyDescent="0.45">
      <c r="X861" s="2"/>
      <c r="Y861" s="2"/>
      <c r="AC861" s="13"/>
      <c r="AD861" s="13"/>
      <c r="AE861" s="13"/>
      <c r="AF861" s="17"/>
      <c r="AH861" s="2"/>
      <c r="AL861" s="17"/>
      <c r="AM861" s="17"/>
      <c r="AN861" s="17"/>
      <c r="AO861" s="17"/>
      <c r="AP861" s="17"/>
      <c r="AQ861" s="17"/>
    </row>
    <row r="862" spans="24:43" x14ac:dyDescent="0.45">
      <c r="X862" s="2"/>
      <c r="Y862" s="2"/>
      <c r="AC862" s="13"/>
      <c r="AD862" s="13"/>
      <c r="AE862" s="13"/>
      <c r="AF862" s="17"/>
      <c r="AH862" s="2"/>
      <c r="AL862" s="17"/>
      <c r="AM862" s="17"/>
      <c r="AN862" s="17"/>
      <c r="AO862" s="17"/>
      <c r="AP862" s="17"/>
      <c r="AQ862" s="17"/>
    </row>
    <row r="863" spans="24:43" x14ac:dyDescent="0.45">
      <c r="X863" s="2"/>
      <c r="Y863" s="2"/>
      <c r="AC863" s="13"/>
      <c r="AD863" s="13"/>
      <c r="AE863" s="13"/>
      <c r="AF863" s="17"/>
      <c r="AH863" s="2"/>
      <c r="AL863" s="17"/>
      <c r="AM863" s="17"/>
      <c r="AN863" s="17"/>
      <c r="AO863" s="17"/>
      <c r="AP863" s="17"/>
      <c r="AQ863" s="17"/>
    </row>
    <row r="864" spans="24:43" x14ac:dyDescent="0.45">
      <c r="X864" s="2"/>
      <c r="Y864" s="2"/>
      <c r="AC864" s="13"/>
      <c r="AD864" s="13"/>
      <c r="AE864" s="13"/>
      <c r="AF864" s="17"/>
      <c r="AH864" s="2"/>
      <c r="AL864" s="17"/>
      <c r="AM864" s="17"/>
      <c r="AN864" s="17"/>
      <c r="AO864" s="17"/>
      <c r="AP864" s="17"/>
      <c r="AQ864" s="17"/>
    </row>
    <row r="865" spans="24:43" x14ac:dyDescent="0.45">
      <c r="X865" s="2"/>
      <c r="Y865" s="2"/>
      <c r="AC865" s="13"/>
      <c r="AD865" s="13"/>
      <c r="AE865" s="13"/>
      <c r="AF865" s="17"/>
      <c r="AH865" s="2"/>
      <c r="AL865" s="17"/>
      <c r="AM865" s="17"/>
      <c r="AN865" s="17"/>
      <c r="AO865" s="17"/>
      <c r="AP865" s="17"/>
      <c r="AQ865" s="17"/>
    </row>
    <row r="866" spans="24:43" x14ac:dyDescent="0.45">
      <c r="X866" s="2"/>
      <c r="Y866" s="2"/>
      <c r="AC866" s="13"/>
      <c r="AD866" s="13"/>
      <c r="AE866" s="13"/>
      <c r="AF866" s="17"/>
      <c r="AH866" s="2"/>
      <c r="AL866" s="17"/>
      <c r="AM866" s="17"/>
      <c r="AN866" s="17"/>
      <c r="AO866" s="17"/>
      <c r="AP866" s="17"/>
      <c r="AQ866" s="17"/>
    </row>
    <row r="867" spans="24:43" x14ac:dyDescent="0.45">
      <c r="X867" s="2"/>
      <c r="Y867" s="2"/>
      <c r="AC867" s="13"/>
      <c r="AD867" s="13"/>
      <c r="AE867" s="13"/>
      <c r="AF867" s="17"/>
      <c r="AH867" s="2"/>
      <c r="AL867" s="17"/>
      <c r="AM867" s="17"/>
      <c r="AN867" s="17"/>
      <c r="AO867" s="17"/>
      <c r="AP867" s="17"/>
      <c r="AQ867" s="17"/>
    </row>
    <row r="868" spans="24:43" x14ac:dyDescent="0.45">
      <c r="X868" s="2"/>
      <c r="Y868" s="2"/>
      <c r="AC868" s="13"/>
      <c r="AD868" s="13"/>
      <c r="AE868" s="13"/>
      <c r="AF868" s="17"/>
      <c r="AH868" s="2"/>
      <c r="AL868" s="17"/>
      <c r="AM868" s="17"/>
      <c r="AN868" s="17"/>
      <c r="AO868" s="17"/>
      <c r="AP868" s="17"/>
      <c r="AQ868" s="17"/>
    </row>
    <row r="869" spans="24:43" x14ac:dyDescent="0.45">
      <c r="X869" s="2"/>
      <c r="Y869" s="2"/>
      <c r="AC869" s="13"/>
      <c r="AD869" s="13"/>
      <c r="AE869" s="13"/>
      <c r="AF869" s="17"/>
      <c r="AH869" s="2"/>
      <c r="AL869" s="17"/>
      <c r="AM869" s="17"/>
      <c r="AN869" s="17"/>
      <c r="AO869" s="17"/>
      <c r="AP869" s="17"/>
      <c r="AQ869" s="17"/>
    </row>
    <row r="870" spans="24:43" x14ac:dyDescent="0.45">
      <c r="X870" s="2"/>
      <c r="Y870" s="2"/>
      <c r="AC870" s="13"/>
      <c r="AD870" s="13"/>
      <c r="AE870" s="13"/>
      <c r="AF870" s="17"/>
      <c r="AH870" s="2"/>
      <c r="AL870" s="17"/>
      <c r="AM870" s="17"/>
      <c r="AN870" s="17"/>
      <c r="AO870" s="17"/>
      <c r="AP870" s="17"/>
      <c r="AQ870" s="17"/>
    </row>
    <row r="871" spans="24:43" x14ac:dyDescent="0.45">
      <c r="X871" s="2"/>
      <c r="Y871" s="2"/>
      <c r="AC871" s="13"/>
      <c r="AD871" s="13"/>
      <c r="AE871" s="13"/>
      <c r="AF871" s="17"/>
      <c r="AH871" s="2"/>
      <c r="AL871" s="17"/>
      <c r="AM871" s="17"/>
      <c r="AN871" s="17"/>
      <c r="AO871" s="17"/>
      <c r="AP871" s="17"/>
      <c r="AQ871" s="17"/>
    </row>
    <row r="872" spans="24:43" x14ac:dyDescent="0.45">
      <c r="X872" s="2"/>
      <c r="Y872" s="2"/>
      <c r="AC872" s="13"/>
      <c r="AD872" s="13"/>
      <c r="AE872" s="13"/>
      <c r="AF872" s="17"/>
      <c r="AH872" s="2"/>
      <c r="AL872" s="17"/>
      <c r="AM872" s="17"/>
      <c r="AN872" s="17"/>
      <c r="AO872" s="17"/>
      <c r="AP872" s="17"/>
      <c r="AQ872" s="17"/>
    </row>
    <row r="873" spans="24:43" x14ac:dyDescent="0.45">
      <c r="X873" s="2"/>
      <c r="Y873" s="2"/>
      <c r="AC873" s="13"/>
      <c r="AD873" s="13"/>
      <c r="AE873" s="13"/>
      <c r="AF873" s="17"/>
      <c r="AH873" s="2"/>
      <c r="AL873" s="17"/>
      <c r="AM873" s="17"/>
      <c r="AN873" s="17"/>
      <c r="AO873" s="17"/>
      <c r="AP873" s="17"/>
      <c r="AQ873" s="17"/>
    </row>
    <row r="874" spans="24:43" x14ac:dyDescent="0.45">
      <c r="X874" s="2"/>
      <c r="Y874" s="2"/>
      <c r="AC874" s="13"/>
      <c r="AD874" s="13"/>
      <c r="AE874" s="13"/>
      <c r="AF874" s="17"/>
      <c r="AH874" s="2"/>
      <c r="AL874" s="17"/>
      <c r="AM874" s="17"/>
      <c r="AN874" s="17"/>
      <c r="AO874" s="17"/>
      <c r="AP874" s="17"/>
      <c r="AQ874" s="17"/>
    </row>
    <row r="875" spans="24:43" x14ac:dyDescent="0.45">
      <c r="X875" s="2"/>
      <c r="Y875" s="2"/>
      <c r="AC875" s="13"/>
      <c r="AD875" s="13"/>
      <c r="AE875" s="13"/>
      <c r="AF875" s="17"/>
      <c r="AH875" s="2"/>
      <c r="AL875" s="17"/>
      <c r="AM875" s="17"/>
      <c r="AN875" s="17"/>
      <c r="AO875" s="17"/>
      <c r="AP875" s="17"/>
      <c r="AQ875" s="17"/>
    </row>
    <row r="876" spans="24:43" x14ac:dyDescent="0.45">
      <c r="X876" s="2"/>
      <c r="Y876" s="2"/>
      <c r="AC876" s="13"/>
      <c r="AD876" s="13"/>
      <c r="AE876" s="13"/>
      <c r="AF876" s="17"/>
      <c r="AH876" s="2"/>
      <c r="AL876" s="17"/>
      <c r="AM876" s="17"/>
      <c r="AN876" s="17"/>
      <c r="AO876" s="17"/>
      <c r="AP876" s="17"/>
      <c r="AQ876" s="17"/>
    </row>
    <row r="877" spans="24:43" x14ac:dyDescent="0.45">
      <c r="X877" s="2"/>
      <c r="Y877" s="2"/>
      <c r="AC877" s="13"/>
      <c r="AD877" s="13"/>
      <c r="AE877" s="13"/>
      <c r="AF877" s="17"/>
      <c r="AH877" s="2"/>
      <c r="AL877" s="17"/>
      <c r="AM877" s="17"/>
      <c r="AN877" s="17"/>
      <c r="AO877" s="17"/>
      <c r="AP877" s="17"/>
      <c r="AQ877" s="17"/>
    </row>
    <row r="878" spans="24:43" x14ac:dyDescent="0.45">
      <c r="X878" s="2"/>
      <c r="Y878" s="2"/>
      <c r="AC878" s="13"/>
      <c r="AD878" s="13"/>
      <c r="AE878" s="13"/>
      <c r="AF878" s="17"/>
      <c r="AH878" s="2"/>
      <c r="AL878" s="17"/>
      <c r="AM878" s="17"/>
      <c r="AN878" s="17"/>
      <c r="AO878" s="17"/>
      <c r="AP878" s="17"/>
      <c r="AQ878" s="17"/>
    </row>
    <row r="879" spans="24:43" x14ac:dyDescent="0.45">
      <c r="X879" s="2"/>
      <c r="Y879" s="2"/>
      <c r="AC879" s="13"/>
      <c r="AD879" s="13"/>
      <c r="AE879" s="13"/>
      <c r="AF879" s="17"/>
      <c r="AH879" s="2"/>
      <c r="AL879" s="17"/>
      <c r="AM879" s="17"/>
      <c r="AN879" s="17"/>
      <c r="AO879" s="17"/>
      <c r="AP879" s="17"/>
      <c r="AQ879" s="17"/>
    </row>
    <row r="880" spans="24:43" x14ac:dyDescent="0.45">
      <c r="X880" s="2"/>
      <c r="Y880" s="2"/>
      <c r="AC880" s="13"/>
      <c r="AD880" s="13"/>
      <c r="AE880" s="13"/>
      <c r="AF880" s="17"/>
      <c r="AH880" s="2"/>
      <c r="AL880" s="17"/>
      <c r="AM880" s="17"/>
      <c r="AN880" s="17"/>
      <c r="AO880" s="17"/>
      <c r="AP880" s="17"/>
      <c r="AQ880" s="17"/>
    </row>
    <row r="881" spans="24:43" x14ac:dyDescent="0.45">
      <c r="X881" s="2"/>
      <c r="Y881" s="2"/>
      <c r="AC881" s="13"/>
      <c r="AD881" s="13"/>
      <c r="AE881" s="13"/>
      <c r="AF881" s="17"/>
      <c r="AH881" s="2"/>
      <c r="AL881" s="17"/>
      <c r="AM881" s="17"/>
      <c r="AN881" s="17"/>
      <c r="AO881" s="17"/>
      <c r="AP881" s="17"/>
      <c r="AQ881" s="17"/>
    </row>
    <row r="882" spans="24:43" x14ac:dyDescent="0.45">
      <c r="X882" s="2"/>
      <c r="Y882" s="2"/>
      <c r="AC882" s="13"/>
      <c r="AD882" s="13"/>
      <c r="AE882" s="13"/>
      <c r="AF882" s="17"/>
      <c r="AH882" s="2"/>
      <c r="AL882" s="17"/>
      <c r="AM882" s="17"/>
      <c r="AN882" s="17"/>
      <c r="AO882" s="17"/>
      <c r="AP882" s="17"/>
      <c r="AQ882" s="17"/>
    </row>
    <row r="883" spans="24:43" x14ac:dyDescent="0.45">
      <c r="X883" s="2"/>
      <c r="Y883" s="2"/>
      <c r="AC883" s="13"/>
      <c r="AD883" s="13"/>
      <c r="AE883" s="13"/>
      <c r="AF883" s="17"/>
      <c r="AH883" s="2"/>
      <c r="AL883" s="17"/>
      <c r="AM883" s="17"/>
      <c r="AN883" s="17"/>
      <c r="AO883" s="17"/>
      <c r="AP883" s="17"/>
      <c r="AQ883" s="17"/>
    </row>
    <row r="884" spans="24:43" x14ac:dyDescent="0.45">
      <c r="X884" s="2"/>
      <c r="Y884" s="2"/>
      <c r="AC884" s="13"/>
      <c r="AD884" s="13"/>
      <c r="AE884" s="13"/>
      <c r="AF884" s="17"/>
      <c r="AH884" s="2"/>
      <c r="AL884" s="17"/>
      <c r="AM884" s="17"/>
      <c r="AN884" s="17"/>
      <c r="AO884" s="17"/>
      <c r="AP884" s="17"/>
      <c r="AQ884" s="17"/>
    </row>
    <row r="885" spans="24:43" x14ac:dyDescent="0.45">
      <c r="X885" s="2"/>
      <c r="Y885" s="2"/>
      <c r="AC885" s="13"/>
      <c r="AD885" s="13"/>
      <c r="AE885" s="13"/>
      <c r="AF885" s="17"/>
      <c r="AH885" s="2"/>
      <c r="AL885" s="17"/>
      <c r="AM885" s="17"/>
      <c r="AN885" s="17"/>
      <c r="AO885" s="17"/>
      <c r="AP885" s="17"/>
      <c r="AQ885" s="17"/>
    </row>
    <row r="886" spans="24:43" x14ac:dyDescent="0.45">
      <c r="X886" s="2"/>
      <c r="Y886" s="2"/>
      <c r="AC886" s="13"/>
      <c r="AD886" s="13"/>
      <c r="AE886" s="13"/>
      <c r="AF886" s="17"/>
      <c r="AH886" s="2"/>
      <c r="AL886" s="17"/>
      <c r="AM886" s="17"/>
      <c r="AN886" s="17"/>
      <c r="AO886" s="17"/>
      <c r="AP886" s="17"/>
      <c r="AQ886" s="17"/>
    </row>
    <row r="887" spans="24:43" x14ac:dyDescent="0.45">
      <c r="X887" s="2"/>
      <c r="Y887" s="2"/>
      <c r="AC887" s="13"/>
      <c r="AD887" s="13"/>
      <c r="AE887" s="13"/>
      <c r="AF887" s="17"/>
      <c r="AH887" s="2"/>
      <c r="AL887" s="17"/>
      <c r="AM887" s="17"/>
      <c r="AN887" s="17"/>
      <c r="AO887" s="17"/>
      <c r="AP887" s="17"/>
      <c r="AQ887" s="17"/>
    </row>
    <row r="888" spans="24:43" x14ac:dyDescent="0.45">
      <c r="X888" s="2"/>
      <c r="Y888" s="2"/>
      <c r="AC888" s="13"/>
      <c r="AD888" s="13"/>
      <c r="AE888" s="13"/>
      <c r="AF888" s="17"/>
      <c r="AH888" s="2"/>
      <c r="AL888" s="17"/>
      <c r="AM888" s="17"/>
      <c r="AN888" s="17"/>
      <c r="AO888" s="17"/>
      <c r="AP888" s="17"/>
      <c r="AQ888" s="17"/>
    </row>
    <row r="889" spans="24:43" x14ac:dyDescent="0.45">
      <c r="X889" s="2"/>
      <c r="Y889" s="2"/>
      <c r="AC889" s="13"/>
      <c r="AD889" s="13"/>
      <c r="AE889" s="13"/>
      <c r="AF889" s="17"/>
      <c r="AH889" s="2"/>
      <c r="AL889" s="17"/>
      <c r="AM889" s="17"/>
      <c r="AN889" s="17"/>
      <c r="AO889" s="17"/>
      <c r="AP889" s="17"/>
      <c r="AQ889" s="17"/>
    </row>
    <row r="890" spans="24:43" x14ac:dyDescent="0.45">
      <c r="X890" s="2"/>
      <c r="Y890" s="2"/>
      <c r="AC890" s="13"/>
      <c r="AD890" s="13"/>
      <c r="AE890" s="13"/>
      <c r="AF890" s="17"/>
      <c r="AH890" s="2"/>
      <c r="AL890" s="17"/>
      <c r="AM890" s="17"/>
      <c r="AN890" s="17"/>
      <c r="AO890" s="17"/>
      <c r="AP890" s="17"/>
      <c r="AQ890" s="17"/>
    </row>
    <row r="891" spans="24:43" x14ac:dyDescent="0.45">
      <c r="X891" s="2"/>
      <c r="Y891" s="2"/>
      <c r="AC891" s="13"/>
      <c r="AD891" s="13"/>
      <c r="AE891" s="13"/>
      <c r="AF891" s="17"/>
      <c r="AH891" s="2"/>
      <c r="AL891" s="17"/>
      <c r="AM891" s="17"/>
      <c r="AN891" s="17"/>
      <c r="AO891" s="17"/>
      <c r="AP891" s="17"/>
      <c r="AQ891" s="17"/>
    </row>
    <row r="892" spans="24:43" x14ac:dyDescent="0.45">
      <c r="X892" s="2"/>
      <c r="Y892" s="2"/>
      <c r="AC892" s="13"/>
      <c r="AD892" s="13"/>
      <c r="AE892" s="13"/>
      <c r="AF892" s="17"/>
      <c r="AH892" s="2"/>
      <c r="AL892" s="17"/>
      <c r="AM892" s="17"/>
      <c r="AN892" s="17"/>
      <c r="AO892" s="17"/>
      <c r="AP892" s="17"/>
      <c r="AQ892" s="17"/>
    </row>
    <row r="893" spans="24:43" x14ac:dyDescent="0.45">
      <c r="X893" s="2"/>
      <c r="Y893" s="2"/>
      <c r="AC893" s="13"/>
      <c r="AD893" s="13"/>
      <c r="AE893" s="13"/>
      <c r="AF893" s="17"/>
      <c r="AH893" s="2"/>
      <c r="AL893" s="17"/>
      <c r="AM893" s="17"/>
      <c r="AN893" s="17"/>
      <c r="AO893" s="17"/>
      <c r="AP893" s="17"/>
      <c r="AQ893" s="17"/>
    </row>
    <row r="894" spans="24:43" x14ac:dyDescent="0.45">
      <c r="X894" s="2"/>
      <c r="Y894" s="2"/>
      <c r="AC894" s="13"/>
      <c r="AD894" s="13"/>
      <c r="AE894" s="13"/>
      <c r="AF894" s="17"/>
      <c r="AH894" s="2"/>
      <c r="AL894" s="17"/>
      <c r="AM894" s="17"/>
      <c r="AN894" s="17"/>
      <c r="AO894" s="17"/>
      <c r="AP894" s="17"/>
      <c r="AQ894" s="17"/>
    </row>
    <row r="895" spans="24:43" x14ac:dyDescent="0.45">
      <c r="X895" s="2"/>
      <c r="Y895" s="2"/>
      <c r="AC895" s="13"/>
      <c r="AD895" s="13"/>
      <c r="AE895" s="13"/>
      <c r="AF895" s="17"/>
      <c r="AH895" s="2"/>
      <c r="AL895" s="17"/>
      <c r="AM895" s="17"/>
      <c r="AN895" s="17"/>
      <c r="AO895" s="17"/>
      <c r="AP895" s="17"/>
      <c r="AQ895" s="17"/>
    </row>
    <row r="896" spans="24:43" x14ac:dyDescent="0.45">
      <c r="X896" s="2"/>
      <c r="Y896" s="2"/>
      <c r="AC896" s="13"/>
      <c r="AD896" s="13"/>
      <c r="AE896" s="13"/>
      <c r="AF896" s="17"/>
      <c r="AH896" s="2"/>
      <c r="AL896" s="17"/>
      <c r="AM896" s="17"/>
      <c r="AN896" s="17"/>
      <c r="AO896" s="17"/>
      <c r="AP896" s="17"/>
      <c r="AQ896" s="17"/>
    </row>
    <row r="897" spans="24:43" x14ac:dyDescent="0.45">
      <c r="X897" s="2"/>
      <c r="Y897" s="2"/>
      <c r="AC897" s="13"/>
      <c r="AD897" s="13"/>
      <c r="AE897" s="13"/>
      <c r="AF897" s="17"/>
      <c r="AH897" s="2"/>
      <c r="AL897" s="17"/>
      <c r="AM897" s="17"/>
      <c r="AN897" s="17"/>
      <c r="AO897" s="17"/>
      <c r="AP897" s="17"/>
      <c r="AQ897" s="17"/>
    </row>
    <row r="898" spans="24:43" x14ac:dyDescent="0.45">
      <c r="X898" s="2"/>
      <c r="Y898" s="2"/>
      <c r="AC898" s="13"/>
      <c r="AD898" s="13"/>
      <c r="AE898" s="13"/>
      <c r="AF898" s="17"/>
      <c r="AH898" s="2"/>
      <c r="AL898" s="17"/>
      <c r="AM898" s="17"/>
      <c r="AN898" s="17"/>
      <c r="AO898" s="17"/>
      <c r="AP898" s="17"/>
      <c r="AQ898" s="17"/>
    </row>
    <row r="899" spans="24:43" x14ac:dyDescent="0.45">
      <c r="X899" s="2"/>
      <c r="Y899" s="2"/>
      <c r="AC899" s="13"/>
      <c r="AD899" s="13"/>
      <c r="AE899" s="13"/>
      <c r="AF899" s="17"/>
      <c r="AH899" s="2"/>
      <c r="AL899" s="17"/>
      <c r="AM899" s="17"/>
      <c r="AN899" s="17"/>
      <c r="AO899" s="17"/>
      <c r="AP899" s="17"/>
      <c r="AQ899" s="17"/>
    </row>
    <row r="900" spans="24:43" x14ac:dyDescent="0.45">
      <c r="X900" s="2"/>
      <c r="Y900" s="2"/>
      <c r="AC900" s="13"/>
      <c r="AD900" s="13"/>
      <c r="AE900" s="13"/>
      <c r="AF900" s="17"/>
      <c r="AH900" s="2"/>
      <c r="AL900" s="17"/>
      <c r="AM900" s="17"/>
      <c r="AN900" s="17"/>
      <c r="AO900" s="17"/>
      <c r="AP900" s="17"/>
      <c r="AQ900" s="17"/>
    </row>
    <row r="901" spans="24:43" x14ac:dyDescent="0.45">
      <c r="X901" s="2"/>
      <c r="Y901" s="2"/>
      <c r="AC901" s="13"/>
      <c r="AD901" s="13"/>
      <c r="AE901" s="13"/>
      <c r="AF901" s="17"/>
      <c r="AH901" s="2"/>
      <c r="AL901" s="17"/>
      <c r="AM901" s="17"/>
      <c r="AN901" s="17"/>
      <c r="AO901" s="17"/>
      <c r="AP901" s="17"/>
      <c r="AQ901" s="17"/>
    </row>
    <row r="902" spans="24:43" x14ac:dyDescent="0.45">
      <c r="X902" s="2"/>
      <c r="Y902" s="2"/>
      <c r="AC902" s="13"/>
      <c r="AD902" s="13"/>
      <c r="AE902" s="13"/>
      <c r="AF902" s="17"/>
      <c r="AH902" s="2"/>
      <c r="AL902" s="17"/>
      <c r="AM902" s="17"/>
      <c r="AN902" s="17"/>
      <c r="AO902" s="17"/>
      <c r="AP902" s="17"/>
      <c r="AQ902" s="17"/>
    </row>
    <row r="903" spans="24:43" x14ac:dyDescent="0.45">
      <c r="X903" s="2"/>
      <c r="Y903" s="2"/>
      <c r="AC903" s="13"/>
      <c r="AD903" s="13"/>
      <c r="AE903" s="13"/>
      <c r="AF903" s="17"/>
      <c r="AH903" s="2"/>
      <c r="AL903" s="17"/>
      <c r="AM903" s="17"/>
      <c r="AN903" s="17"/>
      <c r="AO903" s="17"/>
      <c r="AP903" s="17"/>
      <c r="AQ903" s="17"/>
    </row>
    <row r="904" spans="24:43" x14ac:dyDescent="0.45">
      <c r="X904" s="2"/>
      <c r="Y904" s="2"/>
      <c r="AC904" s="13"/>
      <c r="AD904" s="13"/>
      <c r="AE904" s="13"/>
      <c r="AF904" s="17"/>
      <c r="AH904" s="2"/>
      <c r="AL904" s="17"/>
      <c r="AM904" s="17"/>
      <c r="AN904" s="17"/>
      <c r="AO904" s="17"/>
      <c r="AP904" s="17"/>
      <c r="AQ904" s="17"/>
    </row>
    <row r="905" spans="24:43" x14ac:dyDescent="0.45">
      <c r="X905" s="2"/>
      <c r="Y905" s="2"/>
      <c r="AC905" s="13"/>
      <c r="AD905" s="13"/>
      <c r="AE905" s="13"/>
      <c r="AF905" s="17"/>
      <c r="AH905" s="2"/>
      <c r="AL905" s="17"/>
      <c r="AM905" s="17"/>
      <c r="AN905" s="17"/>
      <c r="AO905" s="17"/>
      <c r="AP905" s="17"/>
      <c r="AQ905" s="17"/>
    </row>
    <row r="906" spans="24:43" x14ac:dyDescent="0.45">
      <c r="X906" s="2"/>
      <c r="Y906" s="2"/>
      <c r="AC906" s="13"/>
      <c r="AD906" s="13"/>
      <c r="AE906" s="13"/>
      <c r="AF906" s="17"/>
      <c r="AH906" s="2"/>
      <c r="AL906" s="17"/>
      <c r="AM906" s="17"/>
      <c r="AN906" s="17"/>
      <c r="AO906" s="17"/>
      <c r="AP906" s="17"/>
      <c r="AQ906" s="17"/>
    </row>
    <row r="907" spans="24:43" x14ac:dyDescent="0.45">
      <c r="X907" s="2"/>
      <c r="Y907" s="2"/>
      <c r="AC907" s="13"/>
      <c r="AD907" s="13"/>
      <c r="AE907" s="13"/>
      <c r="AF907" s="17"/>
      <c r="AH907" s="2"/>
      <c r="AL907" s="17"/>
      <c r="AM907" s="17"/>
      <c r="AN907" s="17"/>
      <c r="AO907" s="17"/>
      <c r="AP907" s="17"/>
      <c r="AQ907" s="17"/>
    </row>
    <row r="908" spans="24:43" x14ac:dyDescent="0.45">
      <c r="X908" s="2"/>
      <c r="Y908" s="2"/>
      <c r="AC908" s="13"/>
      <c r="AD908" s="13"/>
      <c r="AE908" s="13"/>
      <c r="AF908" s="17"/>
      <c r="AH908" s="2"/>
      <c r="AL908" s="17"/>
      <c r="AM908" s="17"/>
      <c r="AN908" s="17"/>
      <c r="AO908" s="17"/>
      <c r="AP908" s="17"/>
      <c r="AQ908" s="17"/>
    </row>
    <row r="909" spans="24:43" x14ac:dyDescent="0.45">
      <c r="X909" s="2"/>
      <c r="Y909" s="2"/>
      <c r="AC909" s="13"/>
      <c r="AD909" s="13"/>
      <c r="AE909" s="13"/>
      <c r="AF909" s="17"/>
      <c r="AH909" s="2"/>
      <c r="AL909" s="17"/>
      <c r="AM909" s="17"/>
      <c r="AN909" s="17"/>
      <c r="AO909" s="17"/>
      <c r="AP909" s="17"/>
      <c r="AQ909" s="17"/>
    </row>
    <row r="910" spans="24:43" x14ac:dyDescent="0.45">
      <c r="X910" s="2"/>
      <c r="Y910" s="2"/>
      <c r="AC910" s="13"/>
      <c r="AD910" s="13"/>
      <c r="AE910" s="13"/>
      <c r="AF910" s="17"/>
      <c r="AH910" s="2"/>
      <c r="AL910" s="17"/>
      <c r="AM910" s="17"/>
      <c r="AN910" s="17"/>
      <c r="AO910" s="17"/>
      <c r="AP910" s="17"/>
      <c r="AQ910" s="17"/>
    </row>
    <row r="911" spans="24:43" x14ac:dyDescent="0.45">
      <c r="X911" s="2"/>
      <c r="Y911" s="2"/>
      <c r="AC911" s="13"/>
      <c r="AD911" s="13"/>
      <c r="AE911" s="13"/>
      <c r="AF911" s="17"/>
      <c r="AH911" s="2"/>
      <c r="AL911" s="17"/>
      <c r="AM911" s="17"/>
      <c r="AN911" s="17"/>
      <c r="AO911" s="17"/>
      <c r="AP911" s="17"/>
      <c r="AQ911" s="17"/>
    </row>
    <row r="912" spans="24:43" x14ac:dyDescent="0.45">
      <c r="X912" s="2"/>
      <c r="Y912" s="2"/>
      <c r="AC912" s="13"/>
      <c r="AD912" s="13"/>
      <c r="AE912" s="13"/>
      <c r="AF912" s="17"/>
      <c r="AH912" s="2"/>
      <c r="AL912" s="17"/>
      <c r="AM912" s="17"/>
      <c r="AN912" s="17"/>
      <c r="AO912" s="17"/>
      <c r="AP912" s="17"/>
      <c r="AQ912" s="17"/>
    </row>
    <row r="913" spans="24:43" x14ac:dyDescent="0.45">
      <c r="X913" s="2"/>
      <c r="Y913" s="2"/>
      <c r="AC913" s="13"/>
      <c r="AD913" s="13"/>
      <c r="AE913" s="13"/>
      <c r="AF913" s="17"/>
      <c r="AH913" s="2"/>
      <c r="AL913" s="17"/>
      <c r="AM913" s="17"/>
      <c r="AN913" s="17"/>
      <c r="AO913" s="17"/>
      <c r="AP913" s="17"/>
      <c r="AQ913" s="17"/>
    </row>
    <row r="914" spans="24:43" x14ac:dyDescent="0.45">
      <c r="X914" s="2"/>
      <c r="Y914" s="2"/>
      <c r="AC914" s="13"/>
      <c r="AD914" s="13"/>
      <c r="AE914" s="13"/>
      <c r="AF914" s="17"/>
      <c r="AH914" s="2"/>
      <c r="AL914" s="17"/>
      <c r="AM914" s="17"/>
      <c r="AN914" s="17"/>
      <c r="AO914" s="17"/>
      <c r="AP914" s="17"/>
      <c r="AQ914" s="17"/>
    </row>
    <row r="915" spans="24:43" x14ac:dyDescent="0.45">
      <c r="X915" s="2"/>
      <c r="Y915" s="2"/>
      <c r="AC915" s="13"/>
      <c r="AD915" s="13"/>
      <c r="AE915" s="13"/>
      <c r="AF915" s="17"/>
      <c r="AH915" s="2"/>
      <c r="AL915" s="17"/>
      <c r="AM915" s="17"/>
      <c r="AN915" s="17"/>
      <c r="AO915" s="17"/>
      <c r="AP915" s="17"/>
      <c r="AQ915" s="17"/>
    </row>
    <row r="916" spans="24:43" x14ac:dyDescent="0.45">
      <c r="X916" s="2"/>
      <c r="Y916" s="2"/>
      <c r="AC916" s="13"/>
      <c r="AD916" s="13"/>
      <c r="AE916" s="13"/>
      <c r="AF916" s="17"/>
      <c r="AH916" s="2"/>
      <c r="AL916" s="17"/>
      <c r="AM916" s="17"/>
      <c r="AN916" s="17"/>
      <c r="AO916" s="17"/>
      <c r="AP916" s="17"/>
      <c r="AQ916" s="17"/>
    </row>
    <row r="917" spans="24:43" x14ac:dyDescent="0.45">
      <c r="X917" s="2"/>
      <c r="Y917" s="2"/>
      <c r="AC917" s="13"/>
      <c r="AD917" s="13"/>
      <c r="AE917" s="13"/>
      <c r="AF917" s="17"/>
      <c r="AH917" s="2"/>
      <c r="AL917" s="17"/>
      <c r="AM917" s="17"/>
      <c r="AN917" s="17"/>
      <c r="AO917" s="17"/>
      <c r="AP917" s="17"/>
      <c r="AQ917" s="17"/>
    </row>
    <row r="918" spans="24:43" x14ac:dyDescent="0.45">
      <c r="X918" s="2"/>
      <c r="Y918" s="2"/>
      <c r="AC918" s="13"/>
      <c r="AD918" s="13"/>
      <c r="AE918" s="13"/>
      <c r="AF918" s="17"/>
      <c r="AH918" s="2"/>
      <c r="AL918" s="17"/>
      <c r="AM918" s="17"/>
      <c r="AN918" s="17"/>
      <c r="AO918" s="17"/>
      <c r="AP918" s="17"/>
      <c r="AQ918" s="17"/>
    </row>
    <row r="919" spans="24:43" x14ac:dyDescent="0.45">
      <c r="X919" s="2"/>
      <c r="Y919" s="2"/>
      <c r="AC919" s="13"/>
      <c r="AD919" s="13"/>
      <c r="AE919" s="13"/>
      <c r="AF919" s="17"/>
      <c r="AH919" s="2"/>
      <c r="AL919" s="17"/>
      <c r="AM919" s="17"/>
      <c r="AN919" s="17"/>
      <c r="AO919" s="17"/>
      <c r="AP919" s="17"/>
      <c r="AQ919" s="17"/>
    </row>
    <row r="920" spans="24:43" x14ac:dyDescent="0.45">
      <c r="X920" s="2"/>
      <c r="Y920" s="2"/>
      <c r="AC920" s="13"/>
      <c r="AD920" s="13"/>
      <c r="AE920" s="13"/>
      <c r="AF920" s="17"/>
      <c r="AH920" s="2"/>
      <c r="AL920" s="17"/>
      <c r="AM920" s="17"/>
      <c r="AN920" s="17"/>
      <c r="AO920" s="17"/>
      <c r="AP920" s="17"/>
      <c r="AQ920" s="17"/>
    </row>
    <row r="921" spans="24:43" x14ac:dyDescent="0.45">
      <c r="X921" s="2"/>
      <c r="Y921" s="2"/>
      <c r="AC921" s="13"/>
      <c r="AD921" s="13"/>
      <c r="AE921" s="13"/>
      <c r="AF921" s="17"/>
      <c r="AH921" s="2"/>
      <c r="AL921" s="17"/>
      <c r="AM921" s="17"/>
      <c r="AN921" s="17"/>
      <c r="AO921" s="17"/>
      <c r="AP921" s="17"/>
      <c r="AQ921" s="17"/>
    </row>
    <row r="922" spans="24:43" x14ac:dyDescent="0.45">
      <c r="X922" s="2"/>
      <c r="Y922" s="2"/>
      <c r="AC922" s="13"/>
      <c r="AD922" s="13"/>
      <c r="AE922" s="13"/>
      <c r="AF922" s="17"/>
      <c r="AH922" s="2"/>
      <c r="AL922" s="17"/>
      <c r="AM922" s="17"/>
      <c r="AN922" s="17"/>
      <c r="AO922" s="17"/>
      <c r="AP922" s="17"/>
      <c r="AQ922" s="17"/>
    </row>
    <row r="923" spans="24:43" x14ac:dyDescent="0.45">
      <c r="X923" s="2"/>
      <c r="Y923" s="2"/>
      <c r="AC923" s="13"/>
      <c r="AD923" s="13"/>
      <c r="AE923" s="13"/>
      <c r="AF923" s="17"/>
      <c r="AH923" s="2"/>
      <c r="AL923" s="17"/>
      <c r="AM923" s="17"/>
      <c r="AN923" s="17"/>
      <c r="AO923" s="17"/>
      <c r="AP923" s="17"/>
      <c r="AQ923" s="17"/>
    </row>
    <row r="924" spans="24:43" x14ac:dyDescent="0.45">
      <c r="X924" s="2"/>
      <c r="Y924" s="2"/>
      <c r="AC924" s="13"/>
      <c r="AD924" s="13"/>
      <c r="AE924" s="13"/>
      <c r="AF924" s="17"/>
      <c r="AH924" s="2"/>
      <c r="AL924" s="17"/>
      <c r="AM924" s="17"/>
      <c r="AN924" s="17"/>
      <c r="AO924" s="17"/>
      <c r="AP924" s="17"/>
      <c r="AQ924" s="17"/>
    </row>
    <row r="925" spans="24:43" x14ac:dyDescent="0.45">
      <c r="X925" s="2"/>
      <c r="Y925" s="2"/>
      <c r="AC925" s="13"/>
      <c r="AD925" s="13"/>
      <c r="AE925" s="13"/>
      <c r="AF925" s="17"/>
      <c r="AH925" s="2"/>
      <c r="AL925" s="17"/>
      <c r="AM925" s="17"/>
      <c r="AN925" s="17"/>
      <c r="AO925" s="17"/>
      <c r="AP925" s="17"/>
      <c r="AQ925" s="17"/>
    </row>
    <row r="926" spans="24:43" x14ac:dyDescent="0.45">
      <c r="X926" s="2"/>
      <c r="Y926" s="2"/>
      <c r="AC926" s="13"/>
      <c r="AD926" s="13"/>
      <c r="AE926" s="13"/>
      <c r="AF926" s="17"/>
      <c r="AH926" s="2"/>
      <c r="AL926" s="17"/>
      <c r="AM926" s="17"/>
      <c r="AN926" s="17"/>
      <c r="AO926" s="17"/>
      <c r="AP926" s="17"/>
      <c r="AQ926" s="17"/>
    </row>
    <row r="927" spans="24:43" x14ac:dyDescent="0.45">
      <c r="X927" s="2"/>
      <c r="Y927" s="2"/>
      <c r="AC927" s="13"/>
      <c r="AD927" s="13"/>
      <c r="AE927" s="13"/>
      <c r="AF927" s="17"/>
      <c r="AH927" s="2"/>
      <c r="AL927" s="17"/>
      <c r="AM927" s="17"/>
      <c r="AN927" s="17"/>
      <c r="AO927" s="17"/>
      <c r="AP927" s="17"/>
      <c r="AQ927" s="17"/>
    </row>
    <row r="928" spans="24:43" x14ac:dyDescent="0.45">
      <c r="X928" s="2"/>
      <c r="Y928" s="2"/>
      <c r="AC928" s="13"/>
      <c r="AD928" s="13"/>
      <c r="AE928" s="13"/>
      <c r="AF928" s="17"/>
      <c r="AH928" s="2"/>
      <c r="AL928" s="17"/>
      <c r="AM928" s="17"/>
      <c r="AN928" s="17"/>
      <c r="AO928" s="17"/>
      <c r="AP928" s="17"/>
      <c r="AQ928" s="17"/>
    </row>
    <row r="929" spans="24:43" x14ac:dyDescent="0.45">
      <c r="X929" s="2"/>
      <c r="Y929" s="2"/>
      <c r="AC929" s="13"/>
      <c r="AD929" s="13"/>
      <c r="AE929" s="13"/>
      <c r="AF929" s="17"/>
      <c r="AH929" s="2"/>
      <c r="AL929" s="17"/>
      <c r="AM929" s="17"/>
      <c r="AN929" s="17"/>
      <c r="AO929" s="17"/>
      <c r="AP929" s="17"/>
      <c r="AQ929" s="17"/>
    </row>
    <row r="930" spans="24:43" x14ac:dyDescent="0.45">
      <c r="X930" s="2"/>
      <c r="Y930" s="2"/>
      <c r="AC930" s="13"/>
      <c r="AD930" s="13"/>
      <c r="AE930" s="13"/>
      <c r="AF930" s="17"/>
      <c r="AH930" s="2"/>
      <c r="AL930" s="17"/>
      <c r="AM930" s="17"/>
      <c r="AN930" s="17"/>
      <c r="AO930" s="17"/>
      <c r="AP930" s="17"/>
      <c r="AQ930" s="17"/>
    </row>
    <row r="931" spans="24:43" x14ac:dyDescent="0.45">
      <c r="X931" s="2"/>
      <c r="Y931" s="2"/>
      <c r="AC931" s="13"/>
      <c r="AD931" s="13"/>
      <c r="AE931" s="13"/>
      <c r="AF931" s="17"/>
      <c r="AH931" s="2"/>
      <c r="AL931" s="17"/>
      <c r="AM931" s="17"/>
      <c r="AN931" s="17"/>
      <c r="AO931" s="17"/>
      <c r="AP931" s="17"/>
      <c r="AQ931" s="17"/>
    </row>
    <row r="932" spans="24:43" x14ac:dyDescent="0.45">
      <c r="X932" s="2"/>
      <c r="Y932" s="2"/>
      <c r="AC932" s="13"/>
      <c r="AD932" s="13"/>
      <c r="AE932" s="13"/>
      <c r="AF932" s="17"/>
      <c r="AH932" s="2"/>
      <c r="AL932" s="17"/>
      <c r="AM932" s="17"/>
      <c r="AN932" s="17"/>
      <c r="AO932" s="17"/>
      <c r="AP932" s="17"/>
      <c r="AQ932" s="17"/>
    </row>
    <row r="933" spans="24:43" x14ac:dyDescent="0.45">
      <c r="X933" s="2"/>
      <c r="Y933" s="2"/>
      <c r="AC933" s="13"/>
      <c r="AD933" s="13"/>
      <c r="AE933" s="13"/>
      <c r="AF933" s="17"/>
      <c r="AH933" s="2"/>
      <c r="AL933" s="17"/>
      <c r="AM933" s="17"/>
      <c r="AN933" s="17"/>
      <c r="AO933" s="17"/>
      <c r="AP933" s="17"/>
      <c r="AQ933" s="17"/>
    </row>
    <row r="934" spans="24:43" x14ac:dyDescent="0.45">
      <c r="X934" s="2"/>
      <c r="Y934" s="2"/>
      <c r="AC934" s="13"/>
      <c r="AD934" s="13"/>
      <c r="AE934" s="13"/>
      <c r="AF934" s="17"/>
      <c r="AH934" s="2"/>
      <c r="AL934" s="17"/>
      <c r="AM934" s="17"/>
      <c r="AN934" s="17"/>
      <c r="AO934" s="17"/>
      <c r="AP934" s="17"/>
      <c r="AQ934" s="17"/>
    </row>
    <row r="935" spans="24:43" x14ac:dyDescent="0.45">
      <c r="X935" s="2"/>
      <c r="Y935" s="2"/>
      <c r="AC935" s="13"/>
      <c r="AD935" s="13"/>
      <c r="AE935" s="13"/>
      <c r="AF935" s="17"/>
      <c r="AH935" s="2"/>
      <c r="AL935" s="17"/>
      <c r="AM935" s="17"/>
      <c r="AN935" s="17"/>
      <c r="AO935" s="17"/>
      <c r="AP935" s="17"/>
      <c r="AQ935" s="17"/>
    </row>
    <row r="936" spans="24:43" x14ac:dyDescent="0.45">
      <c r="X936" s="2"/>
      <c r="Y936" s="2"/>
      <c r="AC936" s="13"/>
      <c r="AD936" s="13"/>
      <c r="AE936" s="13"/>
      <c r="AF936" s="17"/>
      <c r="AH936" s="2"/>
      <c r="AL936" s="17"/>
      <c r="AM936" s="17"/>
      <c r="AN936" s="17"/>
      <c r="AO936" s="17"/>
      <c r="AP936" s="17"/>
      <c r="AQ936" s="17"/>
    </row>
    <row r="937" spans="24:43" x14ac:dyDescent="0.45">
      <c r="X937" s="2"/>
      <c r="Y937" s="2"/>
      <c r="AC937" s="13"/>
      <c r="AD937" s="13"/>
      <c r="AE937" s="13"/>
      <c r="AF937" s="17"/>
      <c r="AH937" s="2"/>
      <c r="AL937" s="17"/>
      <c r="AM937" s="17"/>
      <c r="AN937" s="17"/>
      <c r="AO937" s="17"/>
      <c r="AP937" s="17"/>
      <c r="AQ937" s="17"/>
    </row>
    <row r="938" spans="24:43" x14ac:dyDescent="0.45">
      <c r="X938" s="2"/>
      <c r="Y938" s="2"/>
      <c r="AC938" s="13"/>
      <c r="AD938" s="13"/>
      <c r="AE938" s="13"/>
      <c r="AF938" s="17"/>
      <c r="AH938" s="2"/>
      <c r="AL938" s="17"/>
      <c r="AM938" s="17"/>
      <c r="AN938" s="17"/>
      <c r="AO938" s="17"/>
      <c r="AP938" s="17"/>
      <c r="AQ938" s="17"/>
    </row>
    <row r="939" spans="24:43" x14ac:dyDescent="0.45">
      <c r="X939" s="2"/>
      <c r="Y939" s="2"/>
      <c r="AC939" s="13"/>
      <c r="AD939" s="13"/>
      <c r="AE939" s="13"/>
      <c r="AF939" s="17"/>
      <c r="AH939" s="2"/>
      <c r="AL939" s="17"/>
      <c r="AM939" s="17"/>
      <c r="AN939" s="17"/>
      <c r="AO939" s="17"/>
      <c r="AP939" s="17"/>
      <c r="AQ939" s="17"/>
    </row>
    <row r="940" spans="24:43" x14ac:dyDescent="0.45">
      <c r="X940" s="2"/>
      <c r="Y940" s="2"/>
      <c r="AC940" s="13"/>
      <c r="AD940" s="13"/>
      <c r="AE940" s="13"/>
      <c r="AF940" s="17"/>
      <c r="AH940" s="2"/>
      <c r="AL940" s="17"/>
      <c r="AM940" s="17"/>
      <c r="AN940" s="17"/>
      <c r="AO940" s="17"/>
      <c r="AP940" s="17"/>
      <c r="AQ940" s="17"/>
    </row>
    <row r="941" spans="24:43" x14ac:dyDescent="0.45">
      <c r="X941" s="2"/>
      <c r="Y941" s="2"/>
      <c r="AC941" s="13"/>
      <c r="AD941" s="13"/>
      <c r="AE941" s="13"/>
      <c r="AF941" s="17"/>
      <c r="AH941" s="2"/>
      <c r="AL941" s="17"/>
      <c r="AM941" s="17"/>
      <c r="AN941" s="17"/>
      <c r="AO941" s="17"/>
      <c r="AP941" s="17"/>
      <c r="AQ941" s="17"/>
    </row>
    <row r="942" spans="24:43" x14ac:dyDescent="0.45">
      <c r="X942" s="2"/>
      <c r="Y942" s="2"/>
      <c r="AC942" s="13"/>
      <c r="AD942" s="13"/>
      <c r="AE942" s="13"/>
      <c r="AF942" s="17"/>
      <c r="AH942" s="2"/>
      <c r="AL942" s="17"/>
      <c r="AM942" s="17"/>
      <c r="AN942" s="17"/>
      <c r="AO942" s="17"/>
      <c r="AP942" s="17"/>
      <c r="AQ942" s="17"/>
    </row>
    <row r="943" spans="24:43" x14ac:dyDescent="0.45">
      <c r="X943" s="2"/>
      <c r="Y943" s="2"/>
      <c r="AC943" s="13"/>
      <c r="AD943" s="13"/>
      <c r="AE943" s="13"/>
      <c r="AF943" s="17"/>
      <c r="AH943" s="2"/>
      <c r="AL943" s="17"/>
      <c r="AM943" s="17"/>
      <c r="AN943" s="17"/>
      <c r="AO943" s="17"/>
      <c r="AP943" s="17"/>
      <c r="AQ943" s="17"/>
    </row>
    <row r="944" spans="24:43" x14ac:dyDescent="0.45">
      <c r="X944" s="2"/>
      <c r="Y944" s="2"/>
      <c r="AC944" s="13"/>
      <c r="AD944" s="13"/>
      <c r="AE944" s="13"/>
      <c r="AF944" s="17"/>
      <c r="AH944" s="2"/>
      <c r="AL944" s="17"/>
      <c r="AM944" s="17"/>
      <c r="AN944" s="17"/>
      <c r="AO944" s="17"/>
      <c r="AP944" s="17"/>
      <c r="AQ944" s="17"/>
    </row>
    <row r="945" spans="24:43" x14ac:dyDescent="0.45">
      <c r="X945" s="2"/>
      <c r="Y945" s="2"/>
      <c r="AC945" s="13"/>
      <c r="AD945" s="13"/>
      <c r="AE945" s="13"/>
      <c r="AF945" s="17"/>
      <c r="AH945" s="2"/>
      <c r="AL945" s="17"/>
      <c r="AM945" s="17"/>
      <c r="AN945" s="17"/>
      <c r="AO945" s="17"/>
      <c r="AP945" s="17"/>
      <c r="AQ945" s="17"/>
    </row>
    <row r="946" spans="24:43" x14ac:dyDescent="0.45">
      <c r="X946" s="2"/>
      <c r="Y946" s="2"/>
      <c r="AC946" s="13"/>
      <c r="AD946" s="13"/>
      <c r="AE946" s="13"/>
      <c r="AF946" s="17"/>
      <c r="AH946" s="2"/>
      <c r="AL946" s="17"/>
      <c r="AM946" s="17"/>
      <c r="AN946" s="17"/>
      <c r="AO946" s="17"/>
      <c r="AP946" s="17"/>
      <c r="AQ946" s="17"/>
    </row>
    <row r="947" spans="24:43" x14ac:dyDescent="0.45">
      <c r="X947" s="2"/>
      <c r="Y947" s="2"/>
      <c r="AC947" s="13"/>
      <c r="AD947" s="13"/>
      <c r="AE947" s="13"/>
      <c r="AF947" s="17"/>
      <c r="AH947" s="2"/>
      <c r="AL947" s="17"/>
      <c r="AM947" s="17"/>
      <c r="AN947" s="17"/>
      <c r="AO947" s="17"/>
      <c r="AP947" s="17"/>
      <c r="AQ947" s="17"/>
    </row>
    <row r="948" spans="24:43" x14ac:dyDescent="0.45">
      <c r="X948" s="2"/>
      <c r="Y948" s="2"/>
      <c r="AC948" s="13"/>
      <c r="AD948" s="13"/>
      <c r="AE948" s="13"/>
      <c r="AF948" s="17"/>
      <c r="AH948" s="2"/>
      <c r="AL948" s="17"/>
      <c r="AM948" s="17"/>
      <c r="AN948" s="17"/>
      <c r="AO948" s="17"/>
      <c r="AP948" s="17"/>
      <c r="AQ948" s="17"/>
    </row>
    <row r="949" spans="24:43" x14ac:dyDescent="0.45">
      <c r="X949" s="2"/>
      <c r="Y949" s="2"/>
      <c r="AC949" s="13"/>
      <c r="AD949" s="13"/>
      <c r="AE949" s="13"/>
      <c r="AF949" s="17"/>
      <c r="AH949" s="2"/>
      <c r="AL949" s="17"/>
      <c r="AM949" s="17"/>
      <c r="AN949" s="17"/>
      <c r="AO949" s="17"/>
      <c r="AP949" s="17"/>
      <c r="AQ949" s="17"/>
    </row>
    <row r="950" spans="24:43" x14ac:dyDescent="0.45">
      <c r="X950" s="2"/>
      <c r="Y950" s="2"/>
      <c r="AC950" s="13"/>
      <c r="AD950" s="13"/>
      <c r="AE950" s="13"/>
      <c r="AF950" s="17"/>
      <c r="AH950" s="2"/>
      <c r="AL950" s="17"/>
      <c r="AM950" s="17"/>
      <c r="AN950" s="17"/>
      <c r="AO950" s="17"/>
      <c r="AP950" s="17"/>
      <c r="AQ950" s="17"/>
    </row>
    <row r="951" spans="24:43" x14ac:dyDescent="0.45">
      <c r="X951" s="2"/>
      <c r="Y951" s="2"/>
      <c r="AC951" s="13"/>
      <c r="AD951" s="13"/>
      <c r="AE951" s="13"/>
      <c r="AF951" s="17"/>
      <c r="AH951" s="2"/>
      <c r="AL951" s="17"/>
      <c r="AM951" s="17"/>
      <c r="AN951" s="17"/>
      <c r="AO951" s="17"/>
      <c r="AP951" s="17"/>
      <c r="AQ951" s="17"/>
    </row>
    <row r="952" spans="24:43" x14ac:dyDescent="0.45">
      <c r="X952" s="2"/>
      <c r="Y952" s="2"/>
      <c r="AC952" s="13"/>
      <c r="AD952" s="13"/>
      <c r="AE952" s="13"/>
      <c r="AF952" s="17"/>
      <c r="AH952" s="2"/>
      <c r="AL952" s="17"/>
      <c r="AM952" s="17"/>
      <c r="AN952" s="17"/>
      <c r="AO952" s="17"/>
      <c r="AP952" s="17"/>
      <c r="AQ952" s="17"/>
    </row>
    <row r="953" spans="24:43" x14ac:dyDescent="0.45">
      <c r="X953" s="2"/>
      <c r="Y953" s="2"/>
      <c r="AC953" s="13"/>
      <c r="AD953" s="13"/>
      <c r="AE953" s="13"/>
      <c r="AF953" s="17"/>
      <c r="AH953" s="2"/>
      <c r="AL953" s="17"/>
      <c r="AM953" s="17"/>
      <c r="AN953" s="17"/>
      <c r="AO953" s="17"/>
      <c r="AP953" s="17"/>
      <c r="AQ953" s="17"/>
    </row>
    <row r="954" spans="24:43" x14ac:dyDescent="0.45">
      <c r="X954" s="2"/>
      <c r="Y954" s="2"/>
      <c r="AC954" s="13"/>
      <c r="AD954" s="13"/>
      <c r="AE954" s="13"/>
      <c r="AF954" s="17"/>
      <c r="AH954" s="2"/>
      <c r="AL954" s="17"/>
      <c r="AM954" s="17"/>
      <c r="AN954" s="17"/>
      <c r="AO954" s="17"/>
      <c r="AP954" s="17"/>
      <c r="AQ954" s="17"/>
    </row>
    <row r="955" spans="24:43" x14ac:dyDescent="0.45">
      <c r="X955" s="2"/>
      <c r="Y955" s="2"/>
      <c r="AC955" s="13"/>
      <c r="AD955" s="13"/>
      <c r="AE955" s="13"/>
      <c r="AF955" s="17"/>
      <c r="AH955" s="2"/>
      <c r="AL955" s="17"/>
      <c r="AM955" s="17"/>
      <c r="AN955" s="17"/>
      <c r="AO955" s="17"/>
      <c r="AP955" s="17"/>
      <c r="AQ955" s="17"/>
    </row>
    <row r="956" spans="24:43" x14ac:dyDescent="0.45">
      <c r="X956" s="2"/>
      <c r="Y956" s="2"/>
      <c r="AC956" s="13"/>
      <c r="AD956" s="13"/>
      <c r="AE956" s="13"/>
      <c r="AF956" s="17"/>
      <c r="AH956" s="2"/>
      <c r="AL956" s="17"/>
      <c r="AM956" s="17"/>
      <c r="AN956" s="17"/>
      <c r="AO956" s="17"/>
      <c r="AP956" s="17"/>
      <c r="AQ956" s="17"/>
    </row>
    <row r="957" spans="24:43" x14ac:dyDescent="0.45">
      <c r="X957" s="2"/>
      <c r="Y957" s="2"/>
      <c r="AC957" s="13"/>
      <c r="AD957" s="13"/>
      <c r="AE957" s="13"/>
      <c r="AF957" s="17"/>
      <c r="AH957" s="2"/>
      <c r="AL957" s="17"/>
      <c r="AM957" s="17"/>
      <c r="AN957" s="17"/>
      <c r="AO957" s="17"/>
      <c r="AP957" s="17"/>
      <c r="AQ957" s="17"/>
    </row>
    <row r="958" spans="24:43" x14ac:dyDescent="0.45">
      <c r="X958" s="2"/>
      <c r="Y958" s="2"/>
      <c r="AC958" s="13"/>
      <c r="AD958" s="13"/>
      <c r="AE958" s="13"/>
      <c r="AF958" s="17"/>
      <c r="AH958" s="2"/>
      <c r="AL958" s="17"/>
      <c r="AM958" s="17"/>
      <c r="AN958" s="17"/>
      <c r="AO958" s="17"/>
      <c r="AP958" s="17"/>
      <c r="AQ958" s="17"/>
    </row>
    <row r="959" spans="24:43" x14ac:dyDescent="0.45">
      <c r="X959" s="2"/>
      <c r="Y959" s="2"/>
      <c r="AC959" s="13"/>
      <c r="AD959" s="13"/>
      <c r="AE959" s="13"/>
      <c r="AF959" s="17"/>
      <c r="AH959" s="2"/>
      <c r="AL959" s="17"/>
      <c r="AM959" s="17"/>
      <c r="AN959" s="17"/>
      <c r="AO959" s="17"/>
      <c r="AP959" s="17"/>
      <c r="AQ959" s="17"/>
    </row>
    <row r="960" spans="24:43" x14ac:dyDescent="0.45">
      <c r="X960" s="2"/>
      <c r="Y960" s="2"/>
      <c r="AC960" s="13"/>
      <c r="AD960" s="13"/>
      <c r="AE960" s="13"/>
      <c r="AF960" s="17"/>
      <c r="AH960" s="2"/>
      <c r="AL960" s="17"/>
      <c r="AM960" s="17"/>
      <c r="AN960" s="17"/>
      <c r="AO960" s="17"/>
      <c r="AP960" s="17"/>
      <c r="AQ960" s="17"/>
    </row>
    <row r="961" spans="24:43" x14ac:dyDescent="0.45">
      <c r="X961" s="2"/>
      <c r="Y961" s="2"/>
      <c r="AC961" s="13"/>
      <c r="AD961" s="13"/>
      <c r="AE961" s="13"/>
      <c r="AF961" s="17"/>
      <c r="AH961" s="2"/>
      <c r="AL961" s="17"/>
      <c r="AM961" s="17"/>
      <c r="AN961" s="17"/>
      <c r="AO961" s="17"/>
      <c r="AP961" s="17"/>
      <c r="AQ961" s="17"/>
    </row>
    <row r="962" spans="24:43" x14ac:dyDescent="0.45">
      <c r="X962" s="2"/>
      <c r="Y962" s="2"/>
      <c r="AC962" s="13"/>
      <c r="AD962" s="13"/>
      <c r="AE962" s="13"/>
      <c r="AF962" s="17"/>
      <c r="AH962" s="2"/>
      <c r="AL962" s="17"/>
      <c r="AM962" s="17"/>
      <c r="AN962" s="17"/>
      <c r="AO962" s="17"/>
      <c r="AP962" s="17"/>
      <c r="AQ962" s="17"/>
    </row>
    <row r="963" spans="24:43" x14ac:dyDescent="0.45">
      <c r="X963" s="2"/>
      <c r="Y963" s="2"/>
      <c r="AC963" s="13"/>
      <c r="AD963" s="13"/>
      <c r="AE963" s="13"/>
      <c r="AF963" s="17"/>
      <c r="AH963" s="2"/>
      <c r="AL963" s="17"/>
      <c r="AM963" s="17"/>
      <c r="AN963" s="17"/>
      <c r="AO963" s="17"/>
      <c r="AP963" s="17"/>
      <c r="AQ963" s="17"/>
    </row>
    <row r="964" spans="24:43" x14ac:dyDescent="0.45">
      <c r="X964" s="2"/>
      <c r="Y964" s="2"/>
      <c r="AC964" s="13"/>
      <c r="AD964" s="13"/>
      <c r="AE964" s="13"/>
      <c r="AF964" s="17"/>
      <c r="AH964" s="2"/>
      <c r="AL964" s="17"/>
      <c r="AM964" s="17"/>
      <c r="AN964" s="17"/>
      <c r="AO964" s="17"/>
      <c r="AP964" s="17"/>
      <c r="AQ964" s="17"/>
    </row>
    <row r="965" spans="24:43" x14ac:dyDescent="0.45">
      <c r="X965" s="2"/>
      <c r="Y965" s="2"/>
      <c r="AC965" s="13"/>
      <c r="AD965" s="13"/>
      <c r="AE965" s="13"/>
      <c r="AF965" s="17"/>
      <c r="AH965" s="2"/>
      <c r="AL965" s="17"/>
      <c r="AM965" s="17"/>
      <c r="AN965" s="17"/>
      <c r="AO965" s="17"/>
      <c r="AP965" s="17"/>
      <c r="AQ965" s="17"/>
    </row>
    <row r="966" spans="24:43" x14ac:dyDescent="0.45">
      <c r="X966" s="2"/>
      <c r="Y966" s="2"/>
      <c r="AC966" s="13"/>
      <c r="AD966" s="13"/>
      <c r="AE966" s="13"/>
      <c r="AF966" s="17"/>
      <c r="AH966" s="2"/>
      <c r="AL966" s="17"/>
      <c r="AM966" s="17"/>
      <c r="AN966" s="17"/>
      <c r="AO966" s="17"/>
      <c r="AP966" s="17"/>
      <c r="AQ966" s="17"/>
    </row>
    <row r="967" spans="24:43" x14ac:dyDescent="0.45">
      <c r="X967" s="2"/>
      <c r="Y967" s="2"/>
      <c r="AC967" s="13"/>
      <c r="AD967" s="13"/>
      <c r="AE967" s="13"/>
      <c r="AF967" s="17"/>
      <c r="AH967" s="2"/>
      <c r="AL967" s="17"/>
      <c r="AM967" s="17"/>
      <c r="AN967" s="17"/>
      <c r="AO967" s="17"/>
      <c r="AP967" s="17"/>
      <c r="AQ967" s="17"/>
    </row>
    <row r="968" spans="24:43" x14ac:dyDescent="0.45">
      <c r="X968" s="2"/>
      <c r="Y968" s="2"/>
      <c r="AC968" s="13"/>
      <c r="AD968" s="13"/>
      <c r="AE968" s="13"/>
      <c r="AF968" s="17"/>
      <c r="AH968" s="2"/>
      <c r="AL968" s="17"/>
      <c r="AM968" s="17"/>
      <c r="AN968" s="17"/>
      <c r="AO968" s="17"/>
      <c r="AP968" s="17"/>
      <c r="AQ968" s="17"/>
    </row>
    <row r="969" spans="24:43" x14ac:dyDescent="0.45">
      <c r="X969" s="2"/>
      <c r="Y969" s="2"/>
      <c r="AC969" s="13"/>
      <c r="AD969" s="13"/>
      <c r="AE969" s="13"/>
      <c r="AF969" s="17"/>
      <c r="AH969" s="2"/>
      <c r="AL969" s="17"/>
      <c r="AM969" s="17"/>
      <c r="AN969" s="17"/>
      <c r="AO969" s="17"/>
      <c r="AP969" s="17"/>
      <c r="AQ969" s="17"/>
    </row>
    <row r="970" spans="24:43" x14ac:dyDescent="0.45">
      <c r="X970" s="2"/>
      <c r="Y970" s="2"/>
      <c r="AC970" s="13"/>
      <c r="AD970" s="13"/>
      <c r="AE970" s="13"/>
      <c r="AF970" s="17"/>
      <c r="AH970" s="2"/>
      <c r="AL970" s="17"/>
      <c r="AM970" s="17"/>
      <c r="AN970" s="17"/>
      <c r="AO970" s="17"/>
      <c r="AP970" s="17"/>
      <c r="AQ970" s="17"/>
    </row>
    <row r="971" spans="24:43" x14ac:dyDescent="0.45">
      <c r="X971" s="2"/>
      <c r="Y971" s="2"/>
      <c r="AC971" s="13"/>
      <c r="AD971" s="13"/>
      <c r="AE971" s="13"/>
      <c r="AF971" s="17"/>
      <c r="AH971" s="2"/>
      <c r="AL971" s="17"/>
      <c r="AM971" s="17"/>
      <c r="AN971" s="17"/>
      <c r="AO971" s="17"/>
      <c r="AP971" s="17"/>
      <c r="AQ971" s="17"/>
    </row>
    <row r="972" spans="24:43" x14ac:dyDescent="0.45">
      <c r="X972" s="2"/>
      <c r="Y972" s="2"/>
      <c r="AC972" s="13"/>
      <c r="AD972" s="13"/>
      <c r="AE972" s="13"/>
      <c r="AF972" s="17"/>
      <c r="AH972" s="2"/>
      <c r="AL972" s="17"/>
      <c r="AM972" s="17"/>
      <c r="AN972" s="17"/>
      <c r="AO972" s="17"/>
      <c r="AP972" s="17"/>
      <c r="AQ972" s="17"/>
    </row>
    <row r="973" spans="24:43" x14ac:dyDescent="0.45">
      <c r="X973" s="2"/>
      <c r="Y973" s="2"/>
      <c r="AC973" s="13"/>
      <c r="AD973" s="13"/>
      <c r="AE973" s="13"/>
      <c r="AF973" s="17"/>
      <c r="AH973" s="2"/>
      <c r="AL973" s="17"/>
      <c r="AM973" s="17"/>
      <c r="AN973" s="17"/>
      <c r="AO973" s="17"/>
      <c r="AP973" s="17"/>
      <c r="AQ973" s="17"/>
    </row>
    <row r="974" spans="24:43" x14ac:dyDescent="0.45">
      <c r="X974" s="2"/>
      <c r="Y974" s="2"/>
      <c r="AC974" s="13"/>
      <c r="AD974" s="13"/>
      <c r="AE974" s="13"/>
      <c r="AF974" s="17"/>
      <c r="AH974" s="2"/>
      <c r="AL974" s="17"/>
      <c r="AM974" s="17"/>
      <c r="AN974" s="17"/>
      <c r="AO974" s="17"/>
      <c r="AP974" s="17"/>
      <c r="AQ974" s="17"/>
    </row>
    <row r="975" spans="24:43" x14ac:dyDescent="0.45">
      <c r="X975" s="2"/>
      <c r="Y975" s="2"/>
      <c r="AC975" s="13"/>
      <c r="AD975" s="13"/>
      <c r="AE975" s="13"/>
      <c r="AF975" s="17"/>
      <c r="AH975" s="2"/>
      <c r="AL975" s="17"/>
      <c r="AM975" s="17"/>
      <c r="AN975" s="17"/>
      <c r="AO975" s="17"/>
      <c r="AP975" s="17"/>
      <c r="AQ975" s="17"/>
    </row>
    <row r="976" spans="24:43" x14ac:dyDescent="0.45">
      <c r="X976" s="2"/>
      <c r="Y976" s="2"/>
      <c r="AC976" s="13"/>
      <c r="AD976" s="13"/>
      <c r="AE976" s="13"/>
      <c r="AF976" s="17"/>
      <c r="AH976" s="2"/>
      <c r="AL976" s="17"/>
      <c r="AM976" s="17"/>
      <c r="AN976" s="17"/>
      <c r="AO976" s="17"/>
      <c r="AP976" s="17"/>
      <c r="AQ976" s="17"/>
    </row>
    <row r="977" spans="24:43" x14ac:dyDescent="0.45">
      <c r="X977" s="2"/>
      <c r="Y977" s="2"/>
      <c r="AC977" s="13"/>
      <c r="AD977" s="13"/>
      <c r="AE977" s="13"/>
      <c r="AF977" s="17"/>
      <c r="AH977" s="2"/>
      <c r="AL977" s="17"/>
      <c r="AM977" s="17"/>
      <c r="AN977" s="17"/>
      <c r="AO977" s="17"/>
      <c r="AP977" s="17"/>
      <c r="AQ977" s="17"/>
    </row>
    <row r="978" spans="24:43" x14ac:dyDescent="0.45">
      <c r="X978" s="2"/>
      <c r="Y978" s="2"/>
      <c r="AC978" s="13"/>
      <c r="AD978" s="13"/>
      <c r="AE978" s="13"/>
      <c r="AF978" s="17"/>
      <c r="AH978" s="2"/>
      <c r="AL978" s="17"/>
      <c r="AM978" s="17"/>
      <c r="AN978" s="17"/>
      <c r="AO978" s="17"/>
      <c r="AP978" s="17"/>
      <c r="AQ978" s="17"/>
    </row>
    <row r="979" spans="24:43" x14ac:dyDescent="0.45">
      <c r="X979" s="2"/>
      <c r="Y979" s="2"/>
      <c r="AC979" s="13"/>
      <c r="AD979" s="13"/>
      <c r="AE979" s="13"/>
      <c r="AF979" s="17"/>
      <c r="AH979" s="2"/>
      <c r="AL979" s="17"/>
      <c r="AM979" s="17"/>
      <c r="AN979" s="17"/>
      <c r="AO979" s="17"/>
      <c r="AP979" s="17"/>
      <c r="AQ979" s="17"/>
    </row>
    <row r="980" spans="24:43" x14ac:dyDescent="0.45">
      <c r="X980" s="2"/>
      <c r="Y980" s="2"/>
      <c r="AC980" s="13"/>
      <c r="AD980" s="13"/>
      <c r="AE980" s="13"/>
      <c r="AF980" s="17"/>
      <c r="AH980" s="2"/>
      <c r="AL980" s="17"/>
      <c r="AM980" s="17"/>
      <c r="AN980" s="17"/>
      <c r="AO980" s="17"/>
      <c r="AP980" s="17"/>
      <c r="AQ980" s="17"/>
    </row>
    <row r="981" spans="24:43" x14ac:dyDescent="0.45">
      <c r="X981" s="2"/>
      <c r="Y981" s="2"/>
      <c r="AC981" s="13"/>
      <c r="AD981" s="13"/>
      <c r="AE981" s="13"/>
      <c r="AF981" s="17"/>
      <c r="AH981" s="2"/>
      <c r="AL981" s="17"/>
      <c r="AM981" s="17"/>
      <c r="AN981" s="17"/>
      <c r="AO981" s="17"/>
      <c r="AP981" s="17"/>
      <c r="AQ981" s="17"/>
    </row>
    <row r="982" spans="24:43" x14ac:dyDescent="0.45">
      <c r="X982" s="2"/>
      <c r="Y982" s="2"/>
      <c r="AC982" s="13"/>
      <c r="AD982" s="13"/>
      <c r="AE982" s="13"/>
      <c r="AF982" s="17"/>
      <c r="AH982" s="2"/>
      <c r="AL982" s="17"/>
      <c r="AM982" s="17"/>
      <c r="AN982" s="17"/>
      <c r="AO982" s="17"/>
      <c r="AP982" s="17"/>
      <c r="AQ982" s="17"/>
    </row>
    <row r="983" spans="24:43" x14ac:dyDescent="0.45">
      <c r="X983" s="2"/>
      <c r="Y983" s="2"/>
      <c r="AC983" s="13"/>
      <c r="AD983" s="13"/>
      <c r="AE983" s="13"/>
      <c r="AF983" s="17"/>
      <c r="AH983" s="2"/>
      <c r="AL983" s="17"/>
      <c r="AM983" s="17"/>
      <c r="AN983" s="17"/>
      <c r="AO983" s="17"/>
      <c r="AP983" s="17"/>
      <c r="AQ983" s="17"/>
    </row>
    <row r="984" spans="24:43" x14ac:dyDescent="0.45">
      <c r="X984" s="2"/>
      <c r="Y984" s="2"/>
      <c r="AC984" s="13"/>
      <c r="AD984" s="13"/>
      <c r="AE984" s="13"/>
      <c r="AF984" s="17"/>
      <c r="AH984" s="2"/>
      <c r="AL984" s="17"/>
      <c r="AM984" s="17"/>
      <c r="AN984" s="17"/>
      <c r="AO984" s="17"/>
      <c r="AP984" s="17"/>
      <c r="AQ984" s="17"/>
    </row>
    <row r="985" spans="24:43" x14ac:dyDescent="0.45">
      <c r="X985" s="2"/>
      <c r="Y985" s="2"/>
      <c r="AC985" s="13"/>
      <c r="AD985" s="13"/>
      <c r="AE985" s="13"/>
      <c r="AF985" s="17"/>
      <c r="AH985" s="2"/>
      <c r="AL985" s="17"/>
      <c r="AM985" s="17"/>
      <c r="AN985" s="17"/>
      <c r="AO985" s="17"/>
      <c r="AP985" s="17"/>
      <c r="AQ985" s="17"/>
    </row>
    <row r="986" spans="24:43" x14ac:dyDescent="0.45">
      <c r="X986" s="2"/>
      <c r="Y986" s="2"/>
      <c r="AC986" s="13"/>
      <c r="AD986" s="13"/>
      <c r="AE986" s="13"/>
      <c r="AF986" s="17"/>
      <c r="AH986" s="2"/>
      <c r="AL986" s="17"/>
      <c r="AM986" s="17"/>
      <c r="AN986" s="17"/>
      <c r="AO986" s="17"/>
      <c r="AP986" s="17"/>
      <c r="AQ986" s="17"/>
    </row>
    <row r="987" spans="24:43" x14ac:dyDescent="0.45">
      <c r="X987" s="2"/>
      <c r="Y987" s="2"/>
      <c r="AC987" s="13"/>
      <c r="AD987" s="13"/>
      <c r="AE987" s="13"/>
      <c r="AF987" s="17"/>
      <c r="AH987" s="2"/>
      <c r="AL987" s="17"/>
      <c r="AM987" s="17"/>
      <c r="AN987" s="17"/>
      <c r="AO987" s="17"/>
      <c r="AP987" s="17"/>
      <c r="AQ987" s="17"/>
    </row>
    <row r="988" spans="24:43" x14ac:dyDescent="0.45">
      <c r="X988" s="2"/>
      <c r="Y988" s="2"/>
      <c r="AC988" s="13"/>
      <c r="AD988" s="13"/>
      <c r="AE988" s="13"/>
      <c r="AF988" s="17"/>
      <c r="AH988" s="2"/>
      <c r="AL988" s="17"/>
      <c r="AM988" s="17"/>
      <c r="AN988" s="17"/>
      <c r="AO988" s="17"/>
      <c r="AP988" s="17"/>
      <c r="AQ988" s="17"/>
    </row>
    <row r="989" spans="24:43" x14ac:dyDescent="0.45">
      <c r="X989" s="2"/>
      <c r="Y989" s="2"/>
      <c r="AC989" s="13"/>
      <c r="AD989" s="13"/>
      <c r="AE989" s="13"/>
      <c r="AF989" s="17"/>
      <c r="AH989" s="2"/>
      <c r="AL989" s="17"/>
      <c r="AM989" s="17"/>
      <c r="AN989" s="17"/>
      <c r="AO989" s="17"/>
      <c r="AP989" s="17"/>
      <c r="AQ989" s="17"/>
    </row>
    <row r="990" spans="24:43" x14ac:dyDescent="0.45">
      <c r="X990" s="2"/>
      <c r="Y990" s="2"/>
      <c r="AC990" s="13"/>
      <c r="AD990" s="13"/>
      <c r="AE990" s="13"/>
      <c r="AF990" s="17"/>
      <c r="AH990" s="2"/>
      <c r="AL990" s="17"/>
      <c r="AM990" s="17"/>
      <c r="AN990" s="17"/>
      <c r="AO990" s="17"/>
      <c r="AP990" s="17"/>
      <c r="AQ990" s="17"/>
    </row>
    <row r="991" spans="24:43" x14ac:dyDescent="0.45">
      <c r="X991" s="2"/>
      <c r="Y991" s="2"/>
      <c r="AC991" s="13"/>
      <c r="AD991" s="13"/>
      <c r="AE991" s="13"/>
      <c r="AF991" s="17"/>
      <c r="AH991" s="2"/>
      <c r="AL991" s="17"/>
      <c r="AM991" s="17"/>
      <c r="AN991" s="17"/>
      <c r="AO991" s="17"/>
      <c r="AP991" s="17"/>
      <c r="AQ991" s="17"/>
    </row>
    <row r="992" spans="24:43" x14ac:dyDescent="0.45">
      <c r="X992" s="2"/>
      <c r="Y992" s="2"/>
      <c r="AC992" s="13"/>
      <c r="AD992" s="13"/>
      <c r="AE992" s="13"/>
      <c r="AF992" s="17"/>
      <c r="AH992" s="2"/>
      <c r="AL992" s="17"/>
      <c r="AM992" s="17"/>
      <c r="AN992" s="17"/>
      <c r="AO992" s="17"/>
      <c r="AP992" s="17"/>
      <c r="AQ992" s="17"/>
    </row>
    <row r="993" spans="24:43" x14ac:dyDescent="0.45">
      <c r="X993" s="2"/>
      <c r="Y993" s="2"/>
      <c r="AC993" s="13"/>
      <c r="AD993" s="13"/>
      <c r="AE993" s="13"/>
      <c r="AF993" s="17"/>
      <c r="AH993" s="2"/>
      <c r="AL993" s="17"/>
      <c r="AM993" s="17"/>
      <c r="AN993" s="17"/>
      <c r="AO993" s="17"/>
      <c r="AP993" s="17"/>
      <c r="AQ993" s="17"/>
    </row>
    <row r="994" spans="24:43" x14ac:dyDescent="0.45">
      <c r="X994" s="2"/>
      <c r="Y994" s="2"/>
      <c r="AC994" s="13"/>
      <c r="AD994" s="13"/>
      <c r="AE994" s="13"/>
      <c r="AF994" s="17"/>
      <c r="AH994" s="2"/>
      <c r="AL994" s="17"/>
      <c r="AM994" s="17"/>
      <c r="AN994" s="17"/>
      <c r="AO994" s="17"/>
      <c r="AP994" s="17"/>
      <c r="AQ994" s="17"/>
    </row>
    <row r="995" spans="24:43" x14ac:dyDescent="0.45">
      <c r="X995" s="2"/>
      <c r="Y995" s="2"/>
      <c r="AC995" s="13"/>
      <c r="AD995" s="13"/>
      <c r="AE995" s="13"/>
      <c r="AF995" s="17"/>
      <c r="AH995" s="2"/>
      <c r="AL995" s="17"/>
      <c r="AM995" s="17"/>
      <c r="AN995" s="17"/>
      <c r="AO995" s="17"/>
      <c r="AP995" s="17"/>
      <c r="AQ995" s="17"/>
    </row>
    <row r="996" spans="24:43" x14ac:dyDescent="0.45">
      <c r="X996" s="2"/>
      <c r="Y996" s="2"/>
      <c r="AC996" s="13"/>
      <c r="AD996" s="13"/>
      <c r="AE996" s="13"/>
      <c r="AF996" s="17"/>
      <c r="AH996" s="2"/>
      <c r="AL996" s="17"/>
      <c r="AM996" s="17"/>
      <c r="AN996" s="17"/>
      <c r="AO996" s="17"/>
      <c r="AP996" s="17"/>
      <c r="AQ996" s="17"/>
    </row>
    <row r="997" spans="24:43" x14ac:dyDescent="0.45">
      <c r="X997" s="2"/>
      <c r="Y997" s="2"/>
      <c r="AC997" s="13"/>
      <c r="AD997" s="13"/>
      <c r="AE997" s="13"/>
      <c r="AF997" s="17"/>
      <c r="AH997" s="2"/>
      <c r="AL997" s="17"/>
      <c r="AM997" s="17"/>
      <c r="AN997" s="17"/>
      <c r="AO997" s="17"/>
      <c r="AP997" s="17"/>
      <c r="AQ997" s="17"/>
    </row>
    <row r="998" spans="24:43" x14ac:dyDescent="0.45">
      <c r="X998" s="2"/>
      <c r="Y998" s="2"/>
      <c r="AC998" s="13"/>
      <c r="AD998" s="13"/>
      <c r="AE998" s="13"/>
      <c r="AF998" s="17"/>
      <c r="AH998" s="2"/>
      <c r="AL998" s="17"/>
      <c r="AM998" s="17"/>
      <c r="AN998" s="17"/>
      <c r="AO998" s="17"/>
      <c r="AP998" s="17"/>
      <c r="AQ998" s="17"/>
    </row>
    <row r="999" spans="24:43" x14ac:dyDescent="0.45">
      <c r="X999" s="2"/>
      <c r="Y999" s="2"/>
      <c r="AC999" s="13"/>
      <c r="AD999" s="13"/>
      <c r="AE999" s="13"/>
      <c r="AF999" s="17"/>
      <c r="AH999" s="2"/>
      <c r="AL999" s="17"/>
      <c r="AM999" s="17"/>
      <c r="AN999" s="17"/>
      <c r="AO999" s="17"/>
      <c r="AP999" s="17"/>
      <c r="AQ999" s="17"/>
    </row>
    <row r="1000" spans="24:43" x14ac:dyDescent="0.45">
      <c r="X1000" s="2"/>
      <c r="Y1000" s="2"/>
      <c r="AC1000" s="13"/>
      <c r="AD1000" s="13"/>
      <c r="AE1000" s="13"/>
      <c r="AF1000" s="17"/>
      <c r="AH1000" s="2"/>
      <c r="AL1000" s="17"/>
      <c r="AM1000" s="17"/>
      <c r="AN1000" s="17"/>
      <c r="AO1000" s="17"/>
      <c r="AP1000" s="17"/>
      <c r="AQ1000" s="17"/>
    </row>
    <row r="1001" spans="24:43" x14ac:dyDescent="0.45">
      <c r="X1001" s="2"/>
      <c r="Y1001" s="2"/>
      <c r="AC1001" s="13"/>
      <c r="AD1001" s="13"/>
      <c r="AE1001" s="13"/>
      <c r="AF1001" s="17"/>
      <c r="AH1001" s="2"/>
      <c r="AL1001" s="17"/>
      <c r="AM1001" s="17"/>
      <c r="AN1001" s="17"/>
      <c r="AO1001" s="17"/>
      <c r="AP1001" s="17"/>
      <c r="AQ1001" s="17"/>
    </row>
    <row r="1002" spans="24:43" x14ac:dyDescent="0.45">
      <c r="X1002" s="2"/>
      <c r="Y1002" s="2"/>
      <c r="AC1002" s="13"/>
      <c r="AD1002" s="13"/>
      <c r="AE1002" s="13"/>
      <c r="AF1002" s="17"/>
      <c r="AH1002" s="2"/>
      <c r="AL1002" s="17"/>
      <c r="AM1002" s="17"/>
      <c r="AN1002" s="17"/>
      <c r="AO1002" s="17"/>
      <c r="AP1002" s="17"/>
      <c r="AQ1002" s="17"/>
    </row>
    <row r="1003" spans="24:43" x14ac:dyDescent="0.45">
      <c r="X1003" s="2"/>
      <c r="Y1003" s="2"/>
      <c r="AC1003" s="13"/>
      <c r="AD1003" s="13"/>
      <c r="AE1003" s="13"/>
      <c r="AF1003" s="17"/>
      <c r="AH1003" s="2"/>
      <c r="AL1003" s="17"/>
      <c r="AM1003" s="17"/>
      <c r="AN1003" s="17"/>
      <c r="AO1003" s="17"/>
      <c r="AP1003" s="17"/>
      <c r="AQ1003" s="17"/>
    </row>
    <row r="1004" spans="24:43" x14ac:dyDescent="0.45">
      <c r="X1004" s="2"/>
      <c r="Y1004" s="2"/>
      <c r="AC1004" s="13"/>
      <c r="AD1004" s="13"/>
      <c r="AE1004" s="13"/>
      <c r="AF1004" s="17"/>
      <c r="AH1004" s="2"/>
      <c r="AL1004" s="17"/>
      <c r="AM1004" s="17"/>
      <c r="AN1004" s="17"/>
      <c r="AO1004" s="17"/>
      <c r="AP1004" s="17"/>
      <c r="AQ1004" s="17"/>
    </row>
    <row r="1005" spans="24:43" x14ac:dyDescent="0.45">
      <c r="X1005" s="2"/>
      <c r="Y1005" s="2"/>
      <c r="AC1005" s="13"/>
      <c r="AD1005" s="13"/>
      <c r="AE1005" s="13"/>
      <c r="AF1005" s="17"/>
      <c r="AH1005" s="2"/>
      <c r="AL1005" s="17"/>
      <c r="AM1005" s="17"/>
      <c r="AN1005" s="17"/>
      <c r="AO1005" s="17"/>
      <c r="AP1005" s="17"/>
      <c r="AQ1005" s="17"/>
    </row>
    <row r="1006" spans="24:43" x14ac:dyDescent="0.45">
      <c r="X1006" s="2"/>
      <c r="Y1006" s="2"/>
      <c r="AC1006" s="13"/>
      <c r="AD1006" s="13"/>
      <c r="AE1006" s="13"/>
      <c r="AF1006" s="17"/>
      <c r="AH1006" s="2"/>
      <c r="AL1006" s="17"/>
      <c r="AM1006" s="17"/>
      <c r="AN1006" s="17"/>
      <c r="AO1006" s="17"/>
      <c r="AP1006" s="17"/>
      <c r="AQ1006" s="17"/>
    </row>
    <row r="1007" spans="24:43" x14ac:dyDescent="0.45">
      <c r="X1007" s="2"/>
      <c r="Y1007" s="2"/>
      <c r="AC1007" s="13"/>
      <c r="AD1007" s="13"/>
      <c r="AE1007" s="13"/>
      <c r="AF1007" s="17"/>
      <c r="AH1007" s="2"/>
      <c r="AL1007" s="17"/>
      <c r="AM1007" s="17"/>
      <c r="AN1007" s="17"/>
      <c r="AO1007" s="17"/>
      <c r="AP1007" s="17"/>
      <c r="AQ1007" s="17"/>
    </row>
    <row r="1008" spans="24:43" x14ac:dyDescent="0.45">
      <c r="X1008" s="2"/>
      <c r="Y1008" s="2"/>
      <c r="AC1008" s="13"/>
      <c r="AD1008" s="13"/>
      <c r="AE1008" s="13"/>
      <c r="AF1008" s="17"/>
      <c r="AH1008" s="2"/>
      <c r="AL1008" s="17"/>
      <c r="AM1008" s="17"/>
      <c r="AN1008" s="17"/>
      <c r="AO1008" s="17"/>
      <c r="AP1008" s="17"/>
      <c r="AQ1008" s="17"/>
    </row>
    <row r="1009" spans="24:43" x14ac:dyDescent="0.45">
      <c r="X1009" s="2"/>
      <c r="Y1009" s="2"/>
      <c r="AC1009" s="13"/>
      <c r="AD1009" s="13"/>
      <c r="AE1009" s="13"/>
      <c r="AF1009" s="17"/>
      <c r="AH1009" s="2"/>
      <c r="AL1009" s="17"/>
      <c r="AM1009" s="17"/>
      <c r="AN1009" s="17"/>
      <c r="AO1009" s="17"/>
      <c r="AP1009" s="17"/>
      <c r="AQ1009" s="17"/>
    </row>
    <row r="1010" spans="24:43" x14ac:dyDescent="0.45">
      <c r="X1010" s="2"/>
      <c r="Y1010" s="2"/>
      <c r="AC1010" s="13"/>
      <c r="AD1010" s="13"/>
      <c r="AE1010" s="13"/>
      <c r="AF1010" s="17"/>
      <c r="AH1010" s="2"/>
      <c r="AL1010" s="17"/>
      <c r="AM1010" s="17"/>
      <c r="AN1010" s="17"/>
      <c r="AO1010" s="17"/>
      <c r="AP1010" s="17"/>
      <c r="AQ1010" s="17"/>
    </row>
    <row r="1011" spans="24:43" x14ac:dyDescent="0.45">
      <c r="X1011" s="2"/>
      <c r="Y1011" s="2"/>
      <c r="AC1011" s="13"/>
      <c r="AD1011" s="13"/>
      <c r="AE1011" s="13"/>
      <c r="AF1011" s="17"/>
      <c r="AH1011" s="2"/>
      <c r="AL1011" s="17"/>
      <c r="AM1011" s="17"/>
      <c r="AN1011" s="17"/>
      <c r="AO1011" s="17"/>
      <c r="AP1011" s="17"/>
      <c r="AQ1011" s="17"/>
    </row>
    <row r="1012" spans="24:43" x14ac:dyDescent="0.45">
      <c r="X1012" s="2"/>
      <c r="Y1012" s="2"/>
      <c r="AC1012" s="13"/>
      <c r="AD1012" s="13"/>
      <c r="AE1012" s="13"/>
      <c r="AF1012" s="17"/>
      <c r="AH1012" s="2"/>
      <c r="AL1012" s="17"/>
      <c r="AM1012" s="17"/>
      <c r="AN1012" s="17"/>
      <c r="AO1012" s="17"/>
      <c r="AP1012" s="17"/>
      <c r="AQ1012" s="17"/>
    </row>
    <row r="1013" spans="24:43" x14ac:dyDescent="0.45">
      <c r="X1013" s="2"/>
      <c r="Y1013" s="2"/>
      <c r="AC1013" s="13"/>
      <c r="AD1013" s="13"/>
      <c r="AE1013" s="13"/>
      <c r="AF1013" s="17"/>
      <c r="AH1013" s="2"/>
      <c r="AL1013" s="17"/>
      <c r="AM1013" s="17"/>
      <c r="AN1013" s="17"/>
      <c r="AO1013" s="17"/>
      <c r="AP1013" s="17"/>
      <c r="AQ1013" s="17"/>
    </row>
    <row r="1014" spans="24:43" x14ac:dyDescent="0.45">
      <c r="X1014" s="2"/>
      <c r="Y1014" s="2"/>
      <c r="AC1014" s="13"/>
      <c r="AD1014" s="13"/>
      <c r="AE1014" s="13"/>
      <c r="AF1014" s="17"/>
      <c r="AH1014" s="2"/>
      <c r="AL1014" s="17"/>
      <c r="AM1014" s="17"/>
      <c r="AN1014" s="17"/>
      <c r="AO1014" s="17"/>
      <c r="AP1014" s="17"/>
      <c r="AQ1014" s="17"/>
    </row>
    <row r="1015" spans="24:43" x14ac:dyDescent="0.45">
      <c r="X1015" s="2"/>
      <c r="Y1015" s="2"/>
      <c r="AC1015" s="13"/>
      <c r="AD1015" s="13"/>
      <c r="AE1015" s="13"/>
      <c r="AF1015" s="17"/>
      <c r="AH1015" s="2"/>
      <c r="AL1015" s="17"/>
      <c r="AM1015" s="17"/>
      <c r="AN1015" s="17"/>
      <c r="AO1015" s="17"/>
      <c r="AP1015" s="17"/>
      <c r="AQ1015" s="17"/>
    </row>
    <row r="1016" spans="24:43" x14ac:dyDescent="0.45">
      <c r="X1016" s="2"/>
      <c r="Y1016" s="2"/>
      <c r="AC1016" s="13"/>
      <c r="AD1016" s="13"/>
      <c r="AE1016" s="13"/>
      <c r="AF1016" s="17"/>
      <c r="AH1016" s="2"/>
      <c r="AL1016" s="17"/>
      <c r="AM1016" s="17"/>
      <c r="AN1016" s="17"/>
      <c r="AO1016" s="17"/>
      <c r="AP1016" s="17"/>
      <c r="AQ1016" s="17"/>
    </row>
    <row r="1017" spans="24:43" x14ac:dyDescent="0.45">
      <c r="X1017" s="2"/>
      <c r="Y1017" s="2"/>
      <c r="AC1017" s="13"/>
      <c r="AD1017" s="13"/>
      <c r="AE1017" s="13"/>
      <c r="AF1017" s="17"/>
      <c r="AH1017" s="2"/>
      <c r="AL1017" s="17"/>
      <c r="AM1017" s="17"/>
      <c r="AN1017" s="17"/>
      <c r="AO1017" s="17"/>
      <c r="AP1017" s="17"/>
      <c r="AQ1017" s="17"/>
    </row>
    <row r="1018" spans="24:43" x14ac:dyDescent="0.45">
      <c r="X1018" s="2"/>
      <c r="Y1018" s="2"/>
      <c r="AC1018" s="13"/>
      <c r="AD1018" s="13"/>
      <c r="AE1018" s="13"/>
      <c r="AF1018" s="17"/>
      <c r="AH1018" s="2"/>
      <c r="AL1018" s="17"/>
      <c r="AM1018" s="17"/>
      <c r="AN1018" s="17"/>
      <c r="AO1018" s="17"/>
      <c r="AP1018" s="17"/>
      <c r="AQ1018" s="17"/>
    </row>
    <row r="1019" spans="24:43" x14ac:dyDescent="0.45">
      <c r="X1019" s="2"/>
      <c r="Y1019" s="2"/>
      <c r="AC1019" s="13"/>
      <c r="AD1019" s="13"/>
      <c r="AE1019" s="13"/>
      <c r="AF1019" s="17"/>
      <c r="AH1019" s="2"/>
      <c r="AL1019" s="17"/>
      <c r="AM1019" s="17"/>
      <c r="AN1019" s="17"/>
      <c r="AO1019" s="17"/>
      <c r="AP1019" s="17"/>
      <c r="AQ1019" s="17"/>
    </row>
    <row r="1020" spans="24:43" x14ac:dyDescent="0.45">
      <c r="X1020" s="2"/>
      <c r="Y1020" s="2"/>
      <c r="AC1020" s="13"/>
      <c r="AD1020" s="13"/>
      <c r="AE1020" s="13"/>
      <c r="AF1020" s="17"/>
      <c r="AH1020" s="2"/>
      <c r="AL1020" s="17"/>
      <c r="AM1020" s="17"/>
      <c r="AN1020" s="17"/>
      <c r="AO1020" s="17"/>
      <c r="AP1020" s="17"/>
      <c r="AQ1020" s="17"/>
    </row>
    <row r="1021" spans="24:43" x14ac:dyDescent="0.45">
      <c r="X1021" s="2"/>
      <c r="Y1021" s="2"/>
      <c r="AC1021" s="13"/>
      <c r="AD1021" s="13"/>
      <c r="AE1021" s="13"/>
      <c r="AF1021" s="17"/>
      <c r="AH1021" s="2"/>
      <c r="AL1021" s="17"/>
      <c r="AM1021" s="17"/>
      <c r="AN1021" s="17"/>
      <c r="AO1021" s="17"/>
      <c r="AP1021" s="17"/>
      <c r="AQ1021" s="17"/>
    </row>
    <row r="1022" spans="24:43" x14ac:dyDescent="0.45">
      <c r="X1022" s="2"/>
      <c r="Y1022" s="2"/>
      <c r="AC1022" s="13"/>
      <c r="AD1022" s="13"/>
      <c r="AE1022" s="13"/>
      <c r="AF1022" s="17"/>
      <c r="AH1022" s="2"/>
      <c r="AL1022" s="17"/>
      <c r="AM1022" s="17"/>
      <c r="AN1022" s="17"/>
      <c r="AO1022" s="17"/>
      <c r="AP1022" s="17"/>
      <c r="AQ1022" s="17"/>
    </row>
    <row r="1023" spans="24:43" x14ac:dyDescent="0.45">
      <c r="X1023" s="2"/>
      <c r="Y1023" s="2"/>
      <c r="AC1023" s="13"/>
      <c r="AD1023" s="13"/>
      <c r="AE1023" s="13"/>
      <c r="AF1023" s="17"/>
      <c r="AH1023" s="2"/>
      <c r="AL1023" s="17"/>
      <c r="AM1023" s="17"/>
      <c r="AN1023" s="17"/>
      <c r="AO1023" s="17"/>
      <c r="AP1023" s="17"/>
      <c r="AQ1023" s="17"/>
    </row>
    <row r="1024" spans="24:43" x14ac:dyDescent="0.45">
      <c r="X1024" s="2"/>
      <c r="Y1024" s="2"/>
      <c r="AC1024" s="13"/>
      <c r="AD1024" s="13"/>
      <c r="AE1024" s="13"/>
      <c r="AF1024" s="17"/>
      <c r="AH1024" s="2"/>
      <c r="AL1024" s="17"/>
      <c r="AM1024" s="17"/>
      <c r="AN1024" s="17"/>
      <c r="AO1024" s="17"/>
      <c r="AP1024" s="17"/>
      <c r="AQ1024" s="17"/>
    </row>
    <row r="1025" spans="24:43" x14ac:dyDescent="0.45">
      <c r="X1025" s="2"/>
      <c r="Y1025" s="2"/>
      <c r="AC1025" s="13"/>
      <c r="AD1025" s="13"/>
      <c r="AE1025" s="13"/>
      <c r="AF1025" s="17"/>
      <c r="AH1025" s="2"/>
      <c r="AL1025" s="17"/>
      <c r="AM1025" s="17"/>
      <c r="AN1025" s="17"/>
      <c r="AO1025" s="17"/>
      <c r="AP1025" s="17"/>
      <c r="AQ1025" s="17"/>
    </row>
    <row r="1026" spans="24:43" x14ac:dyDescent="0.45">
      <c r="X1026" s="2"/>
      <c r="Y1026" s="2"/>
      <c r="AC1026" s="13"/>
      <c r="AD1026" s="13"/>
      <c r="AE1026" s="13"/>
      <c r="AF1026" s="17"/>
      <c r="AH1026" s="2"/>
      <c r="AL1026" s="17"/>
      <c r="AM1026" s="17"/>
      <c r="AN1026" s="17"/>
      <c r="AO1026" s="17"/>
      <c r="AP1026" s="17"/>
      <c r="AQ1026" s="17"/>
    </row>
    <row r="1027" spans="24:43" x14ac:dyDescent="0.45">
      <c r="X1027" s="2"/>
      <c r="Y1027" s="2"/>
      <c r="AC1027" s="13"/>
      <c r="AD1027" s="13"/>
      <c r="AE1027" s="13"/>
      <c r="AF1027" s="17"/>
      <c r="AH1027" s="2"/>
      <c r="AL1027" s="17"/>
      <c r="AM1027" s="17"/>
      <c r="AN1027" s="17"/>
      <c r="AO1027" s="17"/>
      <c r="AP1027" s="17"/>
      <c r="AQ1027" s="17"/>
    </row>
    <row r="1028" spans="24:43" x14ac:dyDescent="0.45">
      <c r="X1028" s="2"/>
      <c r="Y1028" s="2"/>
      <c r="AC1028" s="13"/>
      <c r="AD1028" s="13"/>
      <c r="AE1028" s="13"/>
      <c r="AF1028" s="17"/>
      <c r="AH1028" s="2"/>
      <c r="AL1028" s="17"/>
      <c r="AM1028" s="17"/>
      <c r="AN1028" s="17"/>
      <c r="AO1028" s="17"/>
      <c r="AP1028" s="17"/>
      <c r="AQ1028" s="17"/>
    </row>
    <row r="1029" spans="24:43" x14ac:dyDescent="0.45">
      <c r="X1029" s="2"/>
      <c r="Y1029" s="2"/>
      <c r="AC1029" s="13"/>
      <c r="AD1029" s="13"/>
      <c r="AE1029" s="13"/>
      <c r="AF1029" s="17"/>
      <c r="AH1029" s="2"/>
      <c r="AL1029" s="17"/>
      <c r="AM1029" s="17"/>
      <c r="AN1029" s="17"/>
      <c r="AO1029" s="17"/>
      <c r="AP1029" s="17"/>
      <c r="AQ1029" s="17"/>
    </row>
    <row r="1030" spans="24:43" x14ac:dyDescent="0.45">
      <c r="X1030" s="2"/>
      <c r="Y1030" s="2"/>
      <c r="AC1030" s="13"/>
      <c r="AD1030" s="13"/>
      <c r="AE1030" s="13"/>
      <c r="AF1030" s="17"/>
      <c r="AH1030" s="2"/>
      <c r="AL1030" s="17"/>
      <c r="AM1030" s="17"/>
      <c r="AN1030" s="17"/>
      <c r="AO1030" s="17"/>
      <c r="AP1030" s="17"/>
      <c r="AQ1030" s="17"/>
    </row>
    <row r="1031" spans="24:43" x14ac:dyDescent="0.45">
      <c r="X1031" s="2"/>
      <c r="Y1031" s="2"/>
      <c r="AC1031" s="13"/>
      <c r="AD1031" s="13"/>
      <c r="AE1031" s="13"/>
      <c r="AF1031" s="17"/>
      <c r="AH1031" s="2"/>
      <c r="AL1031" s="17"/>
      <c r="AM1031" s="17"/>
      <c r="AN1031" s="17"/>
      <c r="AO1031" s="17"/>
      <c r="AP1031" s="17"/>
      <c r="AQ1031" s="17"/>
    </row>
    <row r="1032" spans="24:43" x14ac:dyDescent="0.45">
      <c r="X1032" s="2"/>
      <c r="Y1032" s="2"/>
      <c r="AC1032" s="13"/>
      <c r="AD1032" s="13"/>
      <c r="AE1032" s="13"/>
      <c r="AF1032" s="17"/>
      <c r="AH1032" s="2"/>
      <c r="AL1032" s="17"/>
      <c r="AM1032" s="17"/>
      <c r="AN1032" s="17"/>
      <c r="AO1032" s="17"/>
      <c r="AP1032" s="17"/>
      <c r="AQ1032" s="17"/>
    </row>
    <row r="1033" spans="24:43" x14ac:dyDescent="0.45">
      <c r="X1033" s="2"/>
      <c r="Y1033" s="2"/>
      <c r="AC1033" s="13"/>
      <c r="AD1033" s="13"/>
      <c r="AE1033" s="13"/>
      <c r="AF1033" s="17"/>
      <c r="AH1033" s="2"/>
      <c r="AL1033" s="17"/>
      <c r="AM1033" s="17"/>
      <c r="AN1033" s="17"/>
      <c r="AO1033" s="17"/>
      <c r="AP1033" s="17"/>
      <c r="AQ1033" s="17"/>
    </row>
    <row r="1034" spans="24:43" x14ac:dyDescent="0.45">
      <c r="X1034" s="2"/>
      <c r="Y1034" s="2"/>
      <c r="AC1034" s="13"/>
      <c r="AD1034" s="13"/>
      <c r="AE1034" s="13"/>
      <c r="AF1034" s="17"/>
      <c r="AH1034" s="2"/>
      <c r="AL1034" s="17"/>
      <c r="AM1034" s="17"/>
      <c r="AN1034" s="17"/>
      <c r="AO1034" s="17"/>
      <c r="AP1034" s="17"/>
      <c r="AQ1034" s="17"/>
    </row>
    <row r="1035" spans="24:43" x14ac:dyDescent="0.45">
      <c r="X1035" s="2"/>
      <c r="Y1035" s="2"/>
      <c r="AC1035" s="13"/>
      <c r="AD1035" s="13"/>
      <c r="AE1035" s="13"/>
      <c r="AF1035" s="17"/>
      <c r="AH1035" s="2"/>
      <c r="AL1035" s="17"/>
      <c r="AM1035" s="17"/>
      <c r="AN1035" s="17"/>
      <c r="AO1035" s="17"/>
      <c r="AP1035" s="17"/>
      <c r="AQ1035" s="17"/>
    </row>
    <row r="1036" spans="24:43" x14ac:dyDescent="0.45">
      <c r="X1036" s="2"/>
      <c r="Y1036" s="2"/>
      <c r="AC1036" s="13"/>
      <c r="AD1036" s="13"/>
      <c r="AE1036" s="13"/>
      <c r="AF1036" s="17"/>
      <c r="AH1036" s="2"/>
      <c r="AL1036" s="17"/>
      <c r="AM1036" s="17"/>
      <c r="AN1036" s="17"/>
      <c r="AO1036" s="17"/>
      <c r="AP1036" s="17"/>
      <c r="AQ1036" s="17"/>
    </row>
    <row r="1037" spans="24:43" x14ac:dyDescent="0.45">
      <c r="X1037" s="2"/>
      <c r="Y1037" s="2"/>
      <c r="AC1037" s="13"/>
      <c r="AD1037" s="13"/>
      <c r="AE1037" s="13"/>
      <c r="AF1037" s="17"/>
      <c r="AH1037" s="2"/>
      <c r="AL1037" s="17"/>
      <c r="AM1037" s="17"/>
      <c r="AN1037" s="17"/>
      <c r="AO1037" s="17"/>
      <c r="AP1037" s="17"/>
      <c r="AQ1037" s="17"/>
    </row>
    <row r="1038" spans="24:43" x14ac:dyDescent="0.45">
      <c r="X1038" s="2"/>
      <c r="Y1038" s="2"/>
      <c r="AC1038" s="13"/>
      <c r="AD1038" s="13"/>
      <c r="AE1038" s="13"/>
      <c r="AF1038" s="17"/>
      <c r="AH1038" s="2"/>
      <c r="AL1038" s="17"/>
      <c r="AM1038" s="17"/>
      <c r="AN1038" s="17"/>
      <c r="AO1038" s="17"/>
      <c r="AP1038" s="17"/>
      <c r="AQ1038" s="17"/>
    </row>
    <row r="1039" spans="24:43" x14ac:dyDescent="0.45">
      <c r="X1039" s="2"/>
      <c r="Y1039" s="2"/>
      <c r="AC1039" s="13"/>
      <c r="AD1039" s="13"/>
      <c r="AE1039" s="13"/>
      <c r="AF1039" s="17"/>
      <c r="AH1039" s="2"/>
      <c r="AL1039" s="17"/>
      <c r="AM1039" s="17"/>
      <c r="AN1039" s="17"/>
      <c r="AO1039" s="17"/>
      <c r="AP1039" s="17"/>
      <c r="AQ1039" s="17"/>
    </row>
    <row r="1040" spans="24:43" x14ac:dyDescent="0.45">
      <c r="X1040" s="2"/>
      <c r="Y1040" s="2"/>
      <c r="AC1040" s="13"/>
      <c r="AD1040" s="13"/>
      <c r="AE1040" s="13"/>
      <c r="AF1040" s="17"/>
      <c r="AH1040" s="2"/>
      <c r="AL1040" s="17"/>
      <c r="AM1040" s="17"/>
      <c r="AN1040" s="17"/>
      <c r="AO1040" s="17"/>
      <c r="AP1040" s="17"/>
      <c r="AQ1040" s="17"/>
    </row>
    <row r="1041" spans="24:43" x14ac:dyDescent="0.45">
      <c r="X1041" s="2"/>
      <c r="Y1041" s="2"/>
      <c r="AC1041" s="13"/>
      <c r="AD1041" s="13"/>
      <c r="AE1041" s="13"/>
      <c r="AF1041" s="17"/>
      <c r="AH1041" s="2"/>
      <c r="AL1041" s="17"/>
      <c r="AM1041" s="17"/>
      <c r="AN1041" s="17"/>
      <c r="AO1041" s="17"/>
      <c r="AP1041" s="17"/>
      <c r="AQ1041" s="17"/>
    </row>
    <row r="1042" spans="24:43" x14ac:dyDescent="0.45">
      <c r="X1042" s="2"/>
      <c r="Y1042" s="2"/>
      <c r="AC1042" s="13"/>
      <c r="AD1042" s="13"/>
      <c r="AE1042" s="13"/>
      <c r="AF1042" s="17"/>
      <c r="AH1042" s="2"/>
      <c r="AL1042" s="17"/>
      <c r="AM1042" s="17"/>
      <c r="AN1042" s="17"/>
      <c r="AO1042" s="17"/>
      <c r="AP1042" s="17"/>
      <c r="AQ1042" s="17"/>
    </row>
    <row r="1043" spans="24:43" x14ac:dyDescent="0.45">
      <c r="X1043" s="2"/>
      <c r="Y1043" s="2"/>
      <c r="AC1043" s="13"/>
      <c r="AD1043" s="13"/>
      <c r="AE1043" s="13"/>
      <c r="AF1043" s="17"/>
      <c r="AH1043" s="2"/>
      <c r="AL1043" s="17"/>
      <c r="AM1043" s="17"/>
      <c r="AN1043" s="17"/>
      <c r="AO1043" s="17"/>
      <c r="AP1043" s="17"/>
      <c r="AQ1043" s="17"/>
    </row>
    <row r="1044" spans="24:43" x14ac:dyDescent="0.45">
      <c r="X1044" s="2"/>
      <c r="Y1044" s="2"/>
      <c r="AC1044" s="13"/>
      <c r="AD1044" s="13"/>
      <c r="AE1044" s="13"/>
      <c r="AF1044" s="17"/>
      <c r="AH1044" s="2"/>
      <c r="AL1044" s="17"/>
      <c r="AM1044" s="17"/>
      <c r="AN1044" s="17"/>
      <c r="AO1044" s="17"/>
      <c r="AP1044" s="17"/>
      <c r="AQ1044" s="17"/>
    </row>
    <row r="1045" spans="24:43" x14ac:dyDescent="0.45">
      <c r="X1045" s="2"/>
      <c r="Y1045" s="2"/>
      <c r="AC1045" s="13"/>
      <c r="AD1045" s="13"/>
      <c r="AE1045" s="13"/>
      <c r="AF1045" s="17"/>
      <c r="AH1045" s="2"/>
      <c r="AL1045" s="17"/>
      <c r="AM1045" s="17"/>
      <c r="AN1045" s="17"/>
      <c r="AO1045" s="17"/>
      <c r="AP1045" s="17"/>
      <c r="AQ1045" s="17"/>
    </row>
    <row r="1046" spans="24:43" x14ac:dyDescent="0.45">
      <c r="X1046" s="2"/>
      <c r="Y1046" s="2"/>
      <c r="AC1046" s="13"/>
      <c r="AD1046" s="13"/>
      <c r="AE1046" s="13"/>
      <c r="AF1046" s="17"/>
      <c r="AH1046" s="2"/>
      <c r="AL1046" s="17"/>
      <c r="AM1046" s="17"/>
      <c r="AN1046" s="17"/>
      <c r="AO1046" s="17"/>
      <c r="AP1046" s="17"/>
      <c r="AQ1046" s="17"/>
    </row>
    <row r="1047" spans="24:43" x14ac:dyDescent="0.45">
      <c r="X1047" s="2"/>
      <c r="Y1047" s="2"/>
      <c r="AC1047" s="13"/>
      <c r="AD1047" s="13"/>
      <c r="AE1047" s="13"/>
      <c r="AF1047" s="17"/>
      <c r="AH1047" s="2"/>
      <c r="AL1047" s="17"/>
      <c r="AM1047" s="17"/>
      <c r="AN1047" s="17"/>
      <c r="AO1047" s="17"/>
      <c r="AP1047" s="17"/>
      <c r="AQ1047" s="17"/>
    </row>
    <row r="1048" spans="24:43" x14ac:dyDescent="0.45">
      <c r="X1048" s="2"/>
      <c r="Y1048" s="2"/>
      <c r="AC1048" s="13"/>
      <c r="AD1048" s="13"/>
      <c r="AE1048" s="13"/>
      <c r="AF1048" s="17"/>
      <c r="AH1048" s="2"/>
      <c r="AL1048" s="17"/>
      <c r="AM1048" s="17"/>
      <c r="AN1048" s="17"/>
      <c r="AO1048" s="17"/>
      <c r="AP1048" s="17"/>
      <c r="AQ1048" s="17"/>
    </row>
    <row r="1049" spans="24:43" x14ac:dyDescent="0.45">
      <c r="X1049" s="2"/>
      <c r="Y1049" s="2"/>
      <c r="AC1049" s="13"/>
      <c r="AD1049" s="13"/>
      <c r="AE1049" s="13"/>
      <c r="AF1049" s="17"/>
      <c r="AH1049" s="2"/>
      <c r="AL1049" s="17"/>
      <c r="AM1049" s="17"/>
      <c r="AN1049" s="17"/>
      <c r="AO1049" s="17"/>
      <c r="AP1049" s="17"/>
      <c r="AQ1049" s="17"/>
    </row>
    <row r="1050" spans="24:43" x14ac:dyDescent="0.45">
      <c r="X1050" s="2"/>
      <c r="Y1050" s="2"/>
      <c r="AC1050" s="13"/>
      <c r="AD1050" s="13"/>
      <c r="AE1050" s="13"/>
      <c r="AF1050" s="17"/>
      <c r="AH1050" s="2"/>
      <c r="AL1050" s="17"/>
      <c r="AM1050" s="17"/>
      <c r="AN1050" s="17"/>
      <c r="AO1050" s="17"/>
      <c r="AP1050" s="17"/>
      <c r="AQ1050" s="17"/>
    </row>
    <row r="1051" spans="24:43" x14ac:dyDescent="0.45">
      <c r="X1051" s="2"/>
      <c r="Y1051" s="2"/>
      <c r="AC1051" s="13"/>
      <c r="AD1051" s="13"/>
      <c r="AE1051" s="13"/>
      <c r="AF1051" s="17"/>
      <c r="AH1051" s="2"/>
      <c r="AL1051" s="17"/>
      <c r="AM1051" s="17"/>
      <c r="AN1051" s="17"/>
      <c r="AO1051" s="17"/>
      <c r="AP1051" s="17"/>
      <c r="AQ1051" s="17"/>
    </row>
    <row r="1052" spans="24:43" x14ac:dyDescent="0.45">
      <c r="X1052" s="2"/>
      <c r="Y1052" s="2"/>
      <c r="AC1052" s="13"/>
      <c r="AD1052" s="13"/>
      <c r="AE1052" s="13"/>
      <c r="AF1052" s="17"/>
      <c r="AH1052" s="2"/>
      <c r="AL1052" s="17"/>
      <c r="AM1052" s="17"/>
      <c r="AN1052" s="17"/>
      <c r="AO1052" s="17"/>
      <c r="AP1052" s="17"/>
      <c r="AQ1052" s="17"/>
    </row>
    <row r="1053" spans="24:43" x14ac:dyDescent="0.45">
      <c r="X1053" s="2"/>
      <c r="Y1053" s="2"/>
      <c r="AC1053" s="13"/>
      <c r="AD1053" s="13"/>
      <c r="AE1053" s="13"/>
      <c r="AF1053" s="17"/>
      <c r="AH1053" s="2"/>
      <c r="AL1053" s="17"/>
      <c r="AM1053" s="17"/>
      <c r="AN1053" s="17"/>
      <c r="AO1053" s="17"/>
      <c r="AP1053" s="17"/>
      <c r="AQ1053" s="17"/>
    </row>
    <row r="1054" spans="24:43" x14ac:dyDescent="0.45">
      <c r="X1054" s="2"/>
      <c r="Y1054" s="2"/>
      <c r="AC1054" s="13"/>
      <c r="AD1054" s="13"/>
      <c r="AE1054" s="13"/>
      <c r="AF1054" s="17"/>
      <c r="AH1054" s="2"/>
      <c r="AL1054" s="17"/>
      <c r="AM1054" s="17"/>
      <c r="AN1054" s="17"/>
      <c r="AO1054" s="17"/>
      <c r="AP1054" s="17"/>
      <c r="AQ1054" s="17"/>
    </row>
    <row r="1055" spans="24:43" x14ac:dyDescent="0.45">
      <c r="X1055" s="2"/>
      <c r="Y1055" s="2"/>
      <c r="AC1055" s="13"/>
      <c r="AD1055" s="13"/>
      <c r="AE1055" s="13"/>
      <c r="AF1055" s="17"/>
      <c r="AH1055" s="2"/>
      <c r="AL1055" s="17"/>
      <c r="AM1055" s="17"/>
      <c r="AN1055" s="17"/>
      <c r="AO1055" s="17"/>
      <c r="AP1055" s="17"/>
      <c r="AQ1055" s="17"/>
    </row>
    <row r="1056" spans="24:43" x14ac:dyDescent="0.45">
      <c r="X1056" s="2"/>
      <c r="Y1056" s="2"/>
      <c r="AC1056" s="13"/>
      <c r="AD1056" s="13"/>
      <c r="AE1056" s="13"/>
      <c r="AF1056" s="17"/>
      <c r="AH1056" s="2"/>
      <c r="AL1056" s="17"/>
      <c r="AM1056" s="17"/>
      <c r="AN1056" s="17"/>
      <c r="AO1056" s="17"/>
      <c r="AP1056" s="17"/>
      <c r="AQ1056" s="17"/>
    </row>
    <row r="1057" spans="24:43" x14ac:dyDescent="0.45">
      <c r="X1057" s="2"/>
      <c r="Y1057" s="2"/>
      <c r="AC1057" s="13"/>
      <c r="AD1057" s="13"/>
      <c r="AE1057" s="13"/>
      <c r="AF1057" s="17"/>
      <c r="AH1057" s="2"/>
      <c r="AL1057" s="17"/>
      <c r="AM1057" s="17"/>
      <c r="AN1057" s="17"/>
      <c r="AO1057" s="17"/>
      <c r="AP1057" s="17"/>
      <c r="AQ1057" s="17"/>
    </row>
    <row r="1058" spans="24:43" x14ac:dyDescent="0.45">
      <c r="X1058" s="2"/>
      <c r="Y1058" s="2"/>
      <c r="AC1058" s="13"/>
      <c r="AD1058" s="13"/>
      <c r="AE1058" s="13"/>
      <c r="AF1058" s="17"/>
      <c r="AH1058" s="2"/>
      <c r="AL1058" s="17"/>
      <c r="AM1058" s="17"/>
      <c r="AN1058" s="17"/>
      <c r="AO1058" s="17"/>
      <c r="AP1058" s="17"/>
      <c r="AQ1058" s="17"/>
    </row>
    <row r="1059" spans="24:43" x14ac:dyDescent="0.45">
      <c r="X1059" s="2"/>
      <c r="Y1059" s="2"/>
      <c r="AC1059" s="13"/>
      <c r="AD1059" s="13"/>
      <c r="AE1059" s="13"/>
      <c r="AF1059" s="17"/>
      <c r="AH1059" s="2"/>
      <c r="AL1059" s="17"/>
      <c r="AM1059" s="17"/>
      <c r="AN1059" s="17"/>
      <c r="AO1059" s="17"/>
      <c r="AP1059" s="17"/>
      <c r="AQ1059" s="17"/>
    </row>
    <row r="1060" spans="24:43" x14ac:dyDescent="0.45">
      <c r="X1060" s="2"/>
      <c r="Y1060" s="2"/>
      <c r="AC1060" s="13"/>
      <c r="AD1060" s="13"/>
      <c r="AE1060" s="13"/>
      <c r="AF1060" s="17"/>
      <c r="AH1060" s="2"/>
      <c r="AL1060" s="17"/>
      <c r="AM1060" s="17"/>
      <c r="AN1060" s="17"/>
      <c r="AO1060" s="17"/>
      <c r="AP1060" s="17"/>
      <c r="AQ1060" s="17"/>
    </row>
    <row r="1061" spans="24:43" x14ac:dyDescent="0.45">
      <c r="X1061" s="2"/>
      <c r="Y1061" s="2"/>
      <c r="AC1061" s="13"/>
      <c r="AD1061" s="13"/>
      <c r="AE1061" s="13"/>
      <c r="AF1061" s="17"/>
      <c r="AH1061" s="2"/>
      <c r="AL1061" s="17"/>
      <c r="AM1061" s="17"/>
      <c r="AN1061" s="17"/>
      <c r="AO1061" s="17"/>
      <c r="AP1061" s="17"/>
      <c r="AQ1061" s="17"/>
    </row>
    <row r="1062" spans="24:43" x14ac:dyDescent="0.45">
      <c r="X1062" s="2"/>
      <c r="Y1062" s="2"/>
      <c r="AC1062" s="13"/>
      <c r="AD1062" s="13"/>
      <c r="AE1062" s="13"/>
      <c r="AF1062" s="17"/>
      <c r="AH1062" s="2"/>
      <c r="AL1062" s="17"/>
      <c r="AM1062" s="17"/>
      <c r="AN1062" s="17"/>
      <c r="AO1062" s="17"/>
      <c r="AP1062" s="17"/>
      <c r="AQ1062" s="17"/>
    </row>
    <row r="1063" spans="24:43" x14ac:dyDescent="0.45">
      <c r="X1063" s="2"/>
      <c r="Y1063" s="2"/>
      <c r="AC1063" s="13"/>
      <c r="AD1063" s="13"/>
      <c r="AE1063" s="13"/>
      <c r="AF1063" s="17"/>
      <c r="AH1063" s="2"/>
      <c r="AL1063" s="17"/>
      <c r="AM1063" s="17"/>
      <c r="AN1063" s="17"/>
      <c r="AO1063" s="17"/>
      <c r="AP1063" s="17"/>
      <c r="AQ1063" s="17"/>
    </row>
    <row r="1064" spans="24:43" x14ac:dyDescent="0.45">
      <c r="X1064" s="2"/>
      <c r="Y1064" s="2"/>
      <c r="AC1064" s="13"/>
      <c r="AD1064" s="13"/>
      <c r="AE1064" s="13"/>
      <c r="AF1064" s="17"/>
      <c r="AH1064" s="2"/>
      <c r="AL1064" s="17"/>
      <c r="AM1064" s="17"/>
      <c r="AN1064" s="17"/>
      <c r="AO1064" s="17"/>
      <c r="AP1064" s="17"/>
      <c r="AQ1064" s="17"/>
    </row>
    <row r="1065" spans="24:43" x14ac:dyDescent="0.45">
      <c r="X1065" s="2"/>
      <c r="Y1065" s="2"/>
      <c r="AC1065" s="13"/>
      <c r="AD1065" s="13"/>
      <c r="AE1065" s="13"/>
      <c r="AF1065" s="17"/>
      <c r="AH1065" s="2"/>
      <c r="AL1065" s="17"/>
      <c r="AM1065" s="17"/>
      <c r="AN1065" s="17"/>
      <c r="AO1065" s="17"/>
      <c r="AP1065" s="17"/>
      <c r="AQ1065" s="17"/>
    </row>
    <row r="1066" spans="24:43" x14ac:dyDescent="0.45">
      <c r="X1066" s="2"/>
      <c r="Y1066" s="2"/>
      <c r="AC1066" s="13"/>
      <c r="AD1066" s="13"/>
      <c r="AE1066" s="13"/>
      <c r="AF1066" s="17"/>
      <c r="AH1066" s="2"/>
      <c r="AL1066" s="17"/>
      <c r="AM1066" s="17"/>
      <c r="AN1066" s="17"/>
      <c r="AO1066" s="17"/>
      <c r="AP1066" s="17"/>
      <c r="AQ1066" s="17"/>
    </row>
    <row r="1067" spans="24:43" x14ac:dyDescent="0.45">
      <c r="X1067" s="2"/>
      <c r="Y1067" s="2"/>
      <c r="AC1067" s="13"/>
      <c r="AD1067" s="13"/>
      <c r="AE1067" s="13"/>
      <c r="AF1067" s="17"/>
      <c r="AH1067" s="2"/>
      <c r="AL1067" s="17"/>
      <c r="AM1067" s="17"/>
      <c r="AN1067" s="17"/>
      <c r="AO1067" s="17"/>
      <c r="AP1067" s="17"/>
      <c r="AQ1067" s="17"/>
    </row>
    <row r="1068" spans="24:43" x14ac:dyDescent="0.45">
      <c r="X1068" s="2"/>
      <c r="Y1068" s="2"/>
      <c r="AC1068" s="13"/>
      <c r="AD1068" s="13"/>
      <c r="AE1068" s="13"/>
      <c r="AF1068" s="17"/>
      <c r="AH1068" s="2"/>
      <c r="AL1068" s="17"/>
      <c r="AM1068" s="17"/>
      <c r="AN1068" s="17"/>
      <c r="AO1068" s="17"/>
      <c r="AP1068" s="17"/>
      <c r="AQ1068" s="17"/>
    </row>
    <row r="1069" spans="24:43" x14ac:dyDescent="0.45">
      <c r="X1069" s="2"/>
      <c r="Y1069" s="2"/>
      <c r="AC1069" s="13"/>
      <c r="AD1069" s="13"/>
      <c r="AE1069" s="13"/>
      <c r="AF1069" s="17"/>
      <c r="AH1069" s="2"/>
      <c r="AL1069" s="17"/>
      <c r="AM1069" s="17"/>
      <c r="AN1069" s="17"/>
      <c r="AO1069" s="17"/>
      <c r="AP1069" s="17"/>
      <c r="AQ1069" s="17"/>
    </row>
    <row r="1070" spans="24:43" x14ac:dyDescent="0.45">
      <c r="X1070" s="2"/>
      <c r="Y1070" s="2"/>
      <c r="AC1070" s="13"/>
      <c r="AD1070" s="13"/>
      <c r="AE1070" s="13"/>
      <c r="AF1070" s="17"/>
      <c r="AH1070" s="2"/>
      <c r="AL1070" s="17"/>
      <c r="AM1070" s="17"/>
      <c r="AN1070" s="17"/>
      <c r="AO1070" s="17"/>
      <c r="AP1070" s="17"/>
      <c r="AQ1070" s="17"/>
    </row>
    <row r="1071" spans="24:43" x14ac:dyDescent="0.45">
      <c r="X1071" s="2"/>
      <c r="Y1071" s="2"/>
      <c r="AC1071" s="13"/>
      <c r="AD1071" s="13"/>
      <c r="AE1071" s="13"/>
      <c r="AF1071" s="17"/>
      <c r="AH1071" s="2"/>
      <c r="AL1071" s="17"/>
      <c r="AM1071" s="17"/>
      <c r="AN1071" s="17"/>
      <c r="AO1071" s="17"/>
      <c r="AP1071" s="17"/>
      <c r="AQ1071" s="17"/>
    </row>
    <row r="1072" spans="24:43" x14ac:dyDescent="0.45">
      <c r="X1072" s="2"/>
      <c r="Y1072" s="2"/>
      <c r="AC1072" s="13"/>
      <c r="AD1072" s="13"/>
      <c r="AE1072" s="13"/>
      <c r="AF1072" s="17"/>
      <c r="AH1072" s="2"/>
      <c r="AL1072" s="17"/>
      <c r="AM1072" s="17"/>
      <c r="AN1072" s="17"/>
      <c r="AO1072" s="17"/>
      <c r="AP1072" s="17"/>
      <c r="AQ1072" s="17"/>
    </row>
    <row r="1073" spans="24:43" x14ac:dyDescent="0.45">
      <c r="X1073" s="2"/>
      <c r="Y1073" s="2"/>
      <c r="AC1073" s="13"/>
      <c r="AD1073" s="13"/>
      <c r="AE1073" s="13"/>
      <c r="AF1073" s="17"/>
      <c r="AH1073" s="2"/>
      <c r="AL1073" s="17"/>
      <c r="AM1073" s="17"/>
      <c r="AN1073" s="17"/>
      <c r="AO1073" s="17"/>
      <c r="AP1073" s="17"/>
      <c r="AQ1073" s="17"/>
    </row>
    <row r="1074" spans="24:43" x14ac:dyDescent="0.45">
      <c r="X1074" s="2"/>
      <c r="Y1074" s="2"/>
      <c r="AC1074" s="13"/>
      <c r="AD1074" s="13"/>
      <c r="AE1074" s="13"/>
      <c r="AF1074" s="17"/>
      <c r="AH1074" s="2"/>
      <c r="AL1074" s="17"/>
      <c r="AM1074" s="17"/>
      <c r="AN1074" s="17"/>
      <c r="AO1074" s="17"/>
      <c r="AP1074" s="17"/>
      <c r="AQ1074" s="17"/>
    </row>
    <row r="1075" spans="24:43" x14ac:dyDescent="0.45">
      <c r="X1075" s="2"/>
      <c r="Y1075" s="2"/>
      <c r="AC1075" s="13"/>
      <c r="AD1075" s="13"/>
      <c r="AE1075" s="13"/>
      <c r="AF1075" s="17"/>
      <c r="AH1075" s="2"/>
      <c r="AL1075" s="17"/>
      <c r="AM1075" s="17"/>
      <c r="AN1075" s="17"/>
      <c r="AO1075" s="17"/>
      <c r="AP1075" s="17"/>
      <c r="AQ1075" s="17"/>
    </row>
    <row r="1076" spans="24:43" x14ac:dyDescent="0.45">
      <c r="X1076" s="2"/>
      <c r="Y1076" s="2"/>
      <c r="AC1076" s="13"/>
      <c r="AD1076" s="13"/>
      <c r="AE1076" s="13"/>
      <c r="AF1076" s="17"/>
      <c r="AH1076" s="2"/>
      <c r="AL1076" s="17"/>
      <c r="AM1076" s="17"/>
      <c r="AN1076" s="17"/>
      <c r="AO1076" s="17"/>
      <c r="AP1076" s="17"/>
      <c r="AQ1076" s="17"/>
    </row>
    <row r="1077" spans="24:43" x14ac:dyDescent="0.45">
      <c r="X1077" s="2"/>
      <c r="Y1077" s="2"/>
      <c r="AC1077" s="13"/>
      <c r="AD1077" s="13"/>
      <c r="AE1077" s="13"/>
      <c r="AF1077" s="17"/>
      <c r="AH1077" s="2"/>
      <c r="AL1077" s="17"/>
      <c r="AM1077" s="17"/>
      <c r="AN1077" s="17"/>
      <c r="AO1077" s="17"/>
      <c r="AP1077" s="17"/>
      <c r="AQ1077" s="17"/>
    </row>
    <row r="1078" spans="24:43" x14ac:dyDescent="0.45">
      <c r="X1078" s="2"/>
      <c r="Y1078" s="2"/>
      <c r="AC1078" s="13"/>
      <c r="AD1078" s="13"/>
      <c r="AE1078" s="13"/>
      <c r="AF1078" s="17"/>
      <c r="AH1078" s="2"/>
      <c r="AL1078" s="17"/>
      <c r="AM1078" s="17"/>
      <c r="AN1078" s="17"/>
      <c r="AO1078" s="17"/>
      <c r="AP1078" s="17"/>
      <c r="AQ1078" s="17"/>
    </row>
    <row r="1079" spans="24:43" x14ac:dyDescent="0.45">
      <c r="X1079" s="2"/>
      <c r="Y1079" s="2"/>
      <c r="AC1079" s="13"/>
      <c r="AD1079" s="13"/>
      <c r="AE1079" s="13"/>
      <c r="AF1079" s="17"/>
      <c r="AH1079" s="2"/>
      <c r="AL1079" s="17"/>
      <c r="AM1079" s="17"/>
      <c r="AN1079" s="17"/>
      <c r="AO1079" s="17"/>
      <c r="AP1079" s="17"/>
      <c r="AQ1079" s="17"/>
    </row>
    <row r="1080" spans="24:43" x14ac:dyDescent="0.45">
      <c r="X1080" s="2"/>
      <c r="Y1080" s="2"/>
      <c r="AC1080" s="13"/>
      <c r="AD1080" s="13"/>
      <c r="AE1080" s="13"/>
      <c r="AF1080" s="17"/>
      <c r="AH1080" s="2"/>
      <c r="AL1080" s="17"/>
      <c r="AM1080" s="17"/>
      <c r="AN1080" s="17"/>
      <c r="AO1080" s="17"/>
      <c r="AP1080" s="17"/>
      <c r="AQ1080" s="17"/>
    </row>
    <row r="1081" spans="24:43" x14ac:dyDescent="0.45">
      <c r="X1081" s="2"/>
      <c r="Y1081" s="2"/>
      <c r="AC1081" s="13"/>
      <c r="AD1081" s="13"/>
      <c r="AE1081" s="13"/>
      <c r="AF1081" s="17"/>
      <c r="AH1081" s="2"/>
      <c r="AL1081" s="17"/>
      <c r="AM1081" s="17"/>
      <c r="AN1081" s="17"/>
      <c r="AO1081" s="17"/>
      <c r="AP1081" s="17"/>
      <c r="AQ1081" s="17"/>
    </row>
    <row r="1082" spans="24:43" x14ac:dyDescent="0.45">
      <c r="X1082" s="2"/>
      <c r="Y1082" s="2"/>
      <c r="AC1082" s="13"/>
      <c r="AD1082" s="13"/>
      <c r="AE1082" s="13"/>
      <c r="AF1082" s="17"/>
      <c r="AH1082" s="2"/>
      <c r="AL1082" s="17"/>
      <c r="AM1082" s="17"/>
      <c r="AN1082" s="17"/>
      <c r="AO1082" s="17"/>
      <c r="AP1082" s="17"/>
      <c r="AQ1082" s="17"/>
    </row>
    <row r="1083" spans="24:43" x14ac:dyDescent="0.45">
      <c r="X1083" s="2"/>
      <c r="Y1083" s="2"/>
      <c r="AC1083" s="13"/>
      <c r="AD1083" s="13"/>
      <c r="AE1083" s="13"/>
      <c r="AF1083" s="17"/>
      <c r="AH1083" s="2"/>
      <c r="AL1083" s="17"/>
      <c r="AM1083" s="17"/>
      <c r="AN1083" s="17"/>
      <c r="AO1083" s="17"/>
      <c r="AP1083" s="17"/>
      <c r="AQ1083" s="17"/>
    </row>
    <row r="1084" spans="24:43" x14ac:dyDescent="0.45">
      <c r="X1084" s="2"/>
      <c r="Y1084" s="2"/>
      <c r="AC1084" s="13"/>
      <c r="AD1084" s="13"/>
      <c r="AE1084" s="13"/>
      <c r="AF1084" s="17"/>
      <c r="AH1084" s="2"/>
      <c r="AL1084" s="17"/>
      <c r="AM1084" s="17"/>
      <c r="AN1084" s="17"/>
      <c r="AO1084" s="17"/>
      <c r="AP1084" s="17"/>
      <c r="AQ1084" s="17"/>
    </row>
    <row r="1085" spans="24:43" x14ac:dyDescent="0.45">
      <c r="X1085" s="2"/>
      <c r="Y1085" s="2"/>
      <c r="AC1085" s="13"/>
      <c r="AD1085" s="13"/>
      <c r="AE1085" s="13"/>
      <c r="AF1085" s="17"/>
      <c r="AH1085" s="2"/>
      <c r="AL1085" s="17"/>
      <c r="AM1085" s="17"/>
      <c r="AN1085" s="17"/>
      <c r="AO1085" s="17"/>
      <c r="AP1085" s="17"/>
      <c r="AQ1085" s="17"/>
    </row>
    <row r="1086" spans="24:43" x14ac:dyDescent="0.45">
      <c r="X1086" s="2"/>
      <c r="Y1086" s="2"/>
      <c r="AC1086" s="13"/>
      <c r="AD1086" s="13"/>
      <c r="AE1086" s="13"/>
      <c r="AF1086" s="17"/>
      <c r="AH1086" s="2"/>
      <c r="AL1086" s="17"/>
      <c r="AM1086" s="17"/>
      <c r="AN1086" s="17"/>
      <c r="AO1086" s="17"/>
      <c r="AP1086" s="17"/>
      <c r="AQ1086" s="17"/>
    </row>
    <row r="1087" spans="24:43" x14ac:dyDescent="0.45">
      <c r="X1087" s="2"/>
      <c r="Y1087" s="2"/>
      <c r="AC1087" s="13"/>
      <c r="AD1087" s="13"/>
      <c r="AE1087" s="13"/>
      <c r="AF1087" s="17"/>
      <c r="AH1087" s="2"/>
      <c r="AL1087" s="17"/>
      <c r="AM1087" s="17"/>
      <c r="AN1087" s="17"/>
      <c r="AO1087" s="17"/>
      <c r="AP1087" s="17"/>
      <c r="AQ1087" s="17"/>
    </row>
    <row r="1088" spans="24:43" x14ac:dyDescent="0.45">
      <c r="X1088" s="2"/>
      <c r="Y1088" s="2"/>
      <c r="AC1088" s="13"/>
      <c r="AD1088" s="13"/>
      <c r="AE1088" s="13"/>
      <c r="AF1088" s="17"/>
      <c r="AH1088" s="2"/>
      <c r="AL1088" s="17"/>
      <c r="AM1088" s="17"/>
      <c r="AN1088" s="17"/>
      <c r="AO1088" s="17"/>
      <c r="AP1088" s="17"/>
      <c r="AQ1088" s="17"/>
    </row>
    <row r="1089" spans="24:43" x14ac:dyDescent="0.45">
      <c r="X1089" s="2"/>
      <c r="Y1089" s="2"/>
      <c r="AC1089" s="13"/>
      <c r="AD1089" s="13"/>
      <c r="AE1089" s="13"/>
      <c r="AF1089" s="17"/>
      <c r="AH1089" s="2"/>
      <c r="AL1089" s="17"/>
      <c r="AM1089" s="17"/>
      <c r="AN1089" s="17"/>
      <c r="AO1089" s="17"/>
      <c r="AP1089" s="17"/>
      <c r="AQ1089" s="17"/>
    </row>
    <row r="1090" spans="24:43" x14ac:dyDescent="0.45">
      <c r="X1090" s="2"/>
      <c r="Y1090" s="2"/>
      <c r="AC1090" s="13"/>
      <c r="AD1090" s="13"/>
      <c r="AE1090" s="13"/>
      <c r="AF1090" s="17"/>
      <c r="AH1090" s="2"/>
      <c r="AL1090" s="17"/>
      <c r="AM1090" s="17"/>
      <c r="AN1090" s="17"/>
      <c r="AO1090" s="17"/>
      <c r="AP1090" s="17"/>
      <c r="AQ1090" s="17"/>
    </row>
    <row r="1091" spans="24:43" x14ac:dyDescent="0.45">
      <c r="X1091" s="2"/>
      <c r="Y1091" s="2"/>
      <c r="AC1091" s="13"/>
      <c r="AD1091" s="13"/>
      <c r="AE1091" s="13"/>
      <c r="AF1091" s="17"/>
      <c r="AH1091" s="2"/>
      <c r="AL1091" s="17"/>
      <c r="AM1091" s="17"/>
      <c r="AN1091" s="17"/>
      <c r="AO1091" s="17"/>
      <c r="AP1091" s="17"/>
      <c r="AQ1091" s="17"/>
    </row>
    <row r="1092" spans="24:43" x14ac:dyDescent="0.45">
      <c r="X1092" s="2"/>
      <c r="Y1092" s="2"/>
      <c r="AC1092" s="13"/>
      <c r="AD1092" s="13"/>
      <c r="AE1092" s="13"/>
      <c r="AF1092" s="17"/>
      <c r="AH1092" s="2"/>
      <c r="AL1092" s="17"/>
      <c r="AM1092" s="17"/>
      <c r="AN1092" s="17"/>
      <c r="AO1092" s="17"/>
      <c r="AP1092" s="17"/>
      <c r="AQ1092" s="17"/>
    </row>
    <row r="1093" spans="24:43" x14ac:dyDescent="0.45">
      <c r="X1093" s="2"/>
      <c r="Y1093" s="2"/>
      <c r="AC1093" s="13"/>
      <c r="AD1093" s="13"/>
      <c r="AE1093" s="13"/>
      <c r="AF1093" s="17"/>
      <c r="AH1093" s="2"/>
      <c r="AL1093" s="17"/>
      <c r="AM1093" s="17"/>
      <c r="AN1093" s="17"/>
      <c r="AO1093" s="17"/>
      <c r="AP1093" s="17"/>
      <c r="AQ1093" s="17"/>
    </row>
    <row r="1094" spans="24:43" x14ac:dyDescent="0.45">
      <c r="X1094" s="2"/>
      <c r="Y1094" s="2"/>
      <c r="AC1094" s="13"/>
      <c r="AD1094" s="13"/>
      <c r="AE1094" s="13"/>
      <c r="AF1094" s="17"/>
      <c r="AH1094" s="2"/>
      <c r="AL1094" s="17"/>
      <c r="AM1094" s="17"/>
      <c r="AN1094" s="17"/>
      <c r="AO1094" s="17"/>
      <c r="AP1094" s="17"/>
      <c r="AQ1094" s="17"/>
    </row>
    <row r="1095" spans="24:43" x14ac:dyDescent="0.45">
      <c r="X1095" s="2"/>
      <c r="Y1095" s="2"/>
      <c r="AC1095" s="13"/>
      <c r="AD1095" s="13"/>
      <c r="AE1095" s="13"/>
      <c r="AF1095" s="17"/>
      <c r="AH1095" s="2"/>
      <c r="AL1095" s="17"/>
      <c r="AM1095" s="17"/>
      <c r="AN1095" s="17"/>
      <c r="AO1095" s="17"/>
      <c r="AP1095" s="17"/>
      <c r="AQ1095" s="17"/>
    </row>
    <row r="1096" spans="24:43" x14ac:dyDescent="0.45">
      <c r="X1096" s="2"/>
      <c r="Y1096" s="2"/>
      <c r="AC1096" s="13"/>
      <c r="AD1096" s="13"/>
      <c r="AE1096" s="13"/>
      <c r="AF1096" s="17"/>
      <c r="AH1096" s="2"/>
      <c r="AL1096" s="17"/>
      <c r="AM1096" s="17"/>
      <c r="AN1096" s="17"/>
      <c r="AO1096" s="17"/>
      <c r="AP1096" s="17"/>
      <c r="AQ1096" s="17"/>
    </row>
    <row r="1097" spans="24:43" x14ac:dyDescent="0.45">
      <c r="X1097" s="2"/>
      <c r="Y1097" s="2"/>
      <c r="AC1097" s="13"/>
      <c r="AD1097" s="13"/>
      <c r="AE1097" s="13"/>
      <c r="AF1097" s="17"/>
      <c r="AH1097" s="2"/>
      <c r="AL1097" s="17"/>
      <c r="AM1097" s="17"/>
      <c r="AN1097" s="17"/>
      <c r="AO1097" s="17"/>
      <c r="AP1097" s="17"/>
      <c r="AQ1097" s="17"/>
    </row>
    <row r="1098" spans="24:43" x14ac:dyDescent="0.45">
      <c r="X1098" s="2"/>
      <c r="Y1098" s="2"/>
      <c r="AC1098" s="13"/>
      <c r="AD1098" s="13"/>
      <c r="AE1098" s="13"/>
      <c r="AF1098" s="17"/>
      <c r="AH1098" s="2"/>
      <c r="AL1098" s="17"/>
      <c r="AM1098" s="17"/>
      <c r="AN1098" s="17"/>
      <c r="AO1098" s="17"/>
      <c r="AP1098" s="17"/>
      <c r="AQ1098" s="17"/>
    </row>
    <row r="1099" spans="24:43" x14ac:dyDescent="0.45">
      <c r="X1099" s="2"/>
      <c r="Y1099" s="2"/>
      <c r="AC1099" s="13"/>
      <c r="AD1099" s="13"/>
      <c r="AE1099" s="13"/>
      <c r="AF1099" s="17"/>
      <c r="AH1099" s="2"/>
      <c r="AL1099" s="17"/>
      <c r="AM1099" s="17"/>
      <c r="AN1099" s="17"/>
      <c r="AO1099" s="17"/>
      <c r="AP1099" s="17"/>
      <c r="AQ1099" s="17"/>
    </row>
    <row r="1100" spans="24:43" x14ac:dyDescent="0.45">
      <c r="X1100" s="2"/>
      <c r="Y1100" s="2"/>
      <c r="AC1100" s="13"/>
      <c r="AD1100" s="13"/>
      <c r="AE1100" s="13"/>
      <c r="AF1100" s="17"/>
      <c r="AH1100" s="2"/>
      <c r="AL1100" s="17"/>
      <c r="AM1100" s="17"/>
      <c r="AN1100" s="17"/>
      <c r="AO1100" s="17"/>
      <c r="AP1100" s="17"/>
      <c r="AQ1100" s="17"/>
    </row>
    <row r="1101" spans="24:43" x14ac:dyDescent="0.45">
      <c r="X1101" s="2"/>
      <c r="Y1101" s="2"/>
      <c r="AC1101" s="13"/>
      <c r="AD1101" s="13"/>
      <c r="AE1101" s="13"/>
      <c r="AF1101" s="17"/>
      <c r="AH1101" s="2"/>
      <c r="AL1101" s="17"/>
      <c r="AM1101" s="17"/>
      <c r="AN1101" s="17"/>
      <c r="AO1101" s="17"/>
      <c r="AP1101" s="17"/>
      <c r="AQ1101" s="17"/>
    </row>
    <row r="1102" spans="24:43" x14ac:dyDescent="0.45">
      <c r="X1102" s="2"/>
      <c r="Y1102" s="2"/>
      <c r="AC1102" s="13"/>
      <c r="AD1102" s="13"/>
      <c r="AE1102" s="13"/>
      <c r="AF1102" s="17"/>
      <c r="AH1102" s="2"/>
      <c r="AL1102" s="17"/>
      <c r="AM1102" s="17"/>
      <c r="AN1102" s="17"/>
      <c r="AO1102" s="17"/>
      <c r="AP1102" s="17"/>
      <c r="AQ1102" s="17"/>
    </row>
    <row r="1103" spans="24:43" x14ac:dyDescent="0.45">
      <c r="X1103" s="2"/>
      <c r="Y1103" s="2"/>
      <c r="AC1103" s="13"/>
      <c r="AD1103" s="13"/>
      <c r="AE1103" s="13"/>
      <c r="AF1103" s="17"/>
      <c r="AH1103" s="2"/>
      <c r="AL1103" s="17"/>
      <c r="AM1103" s="17"/>
      <c r="AN1103" s="17"/>
      <c r="AO1103" s="17"/>
      <c r="AP1103" s="17"/>
      <c r="AQ1103" s="17"/>
    </row>
    <row r="1104" spans="24:43" x14ac:dyDescent="0.45">
      <c r="X1104" s="2"/>
      <c r="Y1104" s="2"/>
      <c r="AC1104" s="13"/>
      <c r="AD1104" s="13"/>
      <c r="AE1104" s="13"/>
      <c r="AF1104" s="17"/>
      <c r="AH1104" s="2"/>
      <c r="AL1104" s="17"/>
      <c r="AM1104" s="17"/>
      <c r="AN1104" s="17"/>
      <c r="AO1104" s="17"/>
      <c r="AP1104" s="17"/>
      <c r="AQ1104" s="17"/>
    </row>
    <row r="1105" spans="24:43" x14ac:dyDescent="0.45">
      <c r="X1105" s="2"/>
      <c r="Y1105" s="2"/>
      <c r="AC1105" s="13"/>
      <c r="AD1105" s="13"/>
      <c r="AE1105" s="13"/>
      <c r="AF1105" s="17"/>
      <c r="AH1105" s="2"/>
      <c r="AL1105" s="17"/>
      <c r="AM1105" s="17"/>
      <c r="AN1105" s="17"/>
      <c r="AO1105" s="17"/>
      <c r="AP1105" s="17"/>
      <c r="AQ1105" s="17"/>
    </row>
    <row r="1106" spans="24:43" x14ac:dyDescent="0.45">
      <c r="X1106" s="2"/>
      <c r="Y1106" s="2"/>
      <c r="AC1106" s="13"/>
      <c r="AD1106" s="13"/>
      <c r="AE1106" s="13"/>
      <c r="AF1106" s="17"/>
      <c r="AH1106" s="2"/>
      <c r="AL1106" s="17"/>
      <c r="AM1106" s="17"/>
      <c r="AN1106" s="17"/>
      <c r="AO1106" s="17"/>
      <c r="AP1106" s="17"/>
      <c r="AQ1106" s="17"/>
    </row>
    <row r="1107" spans="24:43" x14ac:dyDescent="0.45">
      <c r="X1107" s="2"/>
      <c r="Y1107" s="2"/>
      <c r="AC1107" s="13"/>
      <c r="AD1107" s="13"/>
      <c r="AE1107" s="13"/>
      <c r="AF1107" s="17"/>
      <c r="AH1107" s="2"/>
      <c r="AL1107" s="17"/>
      <c r="AM1107" s="17"/>
      <c r="AN1107" s="17"/>
      <c r="AO1107" s="17"/>
      <c r="AP1107" s="17"/>
      <c r="AQ1107" s="17"/>
    </row>
    <row r="1108" spans="24:43" x14ac:dyDescent="0.45">
      <c r="X1108" s="2"/>
      <c r="Y1108" s="2"/>
      <c r="AC1108" s="13"/>
      <c r="AD1108" s="13"/>
      <c r="AE1108" s="13"/>
      <c r="AF1108" s="17"/>
      <c r="AH1108" s="2"/>
      <c r="AL1108" s="17"/>
      <c r="AM1108" s="17"/>
      <c r="AN1108" s="17"/>
      <c r="AO1108" s="17"/>
      <c r="AP1108" s="17"/>
      <c r="AQ1108" s="17"/>
    </row>
    <row r="1109" spans="24:43" x14ac:dyDescent="0.45">
      <c r="X1109" s="2"/>
      <c r="Y1109" s="2"/>
      <c r="AC1109" s="13"/>
      <c r="AD1109" s="13"/>
      <c r="AE1109" s="13"/>
      <c r="AF1109" s="17"/>
      <c r="AH1109" s="2"/>
      <c r="AL1109" s="17"/>
      <c r="AM1109" s="17"/>
      <c r="AN1109" s="17"/>
      <c r="AO1109" s="17"/>
      <c r="AP1109" s="17"/>
      <c r="AQ1109" s="17"/>
    </row>
    <row r="1110" spans="24:43" x14ac:dyDescent="0.45">
      <c r="X1110" s="2"/>
      <c r="Y1110" s="2"/>
      <c r="AC1110" s="13"/>
      <c r="AD1110" s="13"/>
      <c r="AE1110" s="13"/>
      <c r="AF1110" s="17"/>
      <c r="AH1110" s="2"/>
      <c r="AL1110" s="17"/>
      <c r="AM1110" s="17"/>
      <c r="AN1110" s="17"/>
      <c r="AO1110" s="17"/>
      <c r="AP1110" s="17"/>
      <c r="AQ1110" s="17"/>
    </row>
    <row r="1111" spans="24:43" x14ac:dyDescent="0.45">
      <c r="X1111" s="2"/>
      <c r="Y1111" s="2"/>
      <c r="AC1111" s="13"/>
      <c r="AD1111" s="13"/>
      <c r="AE1111" s="13"/>
      <c r="AF1111" s="17"/>
      <c r="AH1111" s="2"/>
      <c r="AL1111" s="17"/>
      <c r="AM1111" s="17"/>
      <c r="AN1111" s="17"/>
      <c r="AO1111" s="17"/>
      <c r="AP1111" s="17"/>
      <c r="AQ1111" s="17"/>
    </row>
    <row r="1112" spans="24:43" x14ac:dyDescent="0.45">
      <c r="X1112" s="2"/>
      <c r="Y1112" s="2"/>
      <c r="AC1112" s="13"/>
      <c r="AD1112" s="13"/>
      <c r="AE1112" s="13"/>
      <c r="AF1112" s="17"/>
      <c r="AH1112" s="2"/>
      <c r="AL1112" s="17"/>
      <c r="AM1112" s="17"/>
      <c r="AN1112" s="17"/>
      <c r="AO1112" s="17"/>
      <c r="AP1112" s="17"/>
      <c r="AQ1112" s="17"/>
    </row>
    <row r="1113" spans="24:43" x14ac:dyDescent="0.45">
      <c r="X1113" s="2"/>
      <c r="Y1113" s="2"/>
      <c r="AC1113" s="13"/>
      <c r="AD1113" s="13"/>
      <c r="AE1113" s="13"/>
      <c r="AF1113" s="17"/>
      <c r="AH1113" s="2"/>
      <c r="AL1113" s="17"/>
      <c r="AM1113" s="17"/>
      <c r="AN1113" s="17"/>
      <c r="AO1113" s="17"/>
      <c r="AP1113" s="17"/>
      <c r="AQ1113" s="17"/>
    </row>
    <row r="1114" spans="24:43" x14ac:dyDescent="0.45">
      <c r="X1114" s="2"/>
      <c r="Y1114" s="2"/>
      <c r="AC1114" s="13"/>
      <c r="AD1114" s="13"/>
      <c r="AE1114" s="13"/>
      <c r="AF1114" s="17"/>
      <c r="AH1114" s="2"/>
      <c r="AL1114" s="17"/>
      <c r="AM1114" s="17"/>
      <c r="AN1114" s="17"/>
      <c r="AO1114" s="17"/>
      <c r="AP1114" s="17"/>
      <c r="AQ1114" s="17"/>
    </row>
    <row r="1115" spans="24:43" x14ac:dyDescent="0.45">
      <c r="X1115" s="2"/>
      <c r="Y1115" s="2"/>
      <c r="AC1115" s="13"/>
      <c r="AD1115" s="13"/>
      <c r="AE1115" s="13"/>
      <c r="AF1115" s="17"/>
      <c r="AH1115" s="2"/>
      <c r="AL1115" s="17"/>
      <c r="AM1115" s="17"/>
      <c r="AN1115" s="17"/>
      <c r="AO1115" s="17"/>
      <c r="AP1115" s="17"/>
      <c r="AQ1115" s="17"/>
    </row>
    <row r="1116" spans="24:43" x14ac:dyDescent="0.45">
      <c r="X1116" s="2"/>
      <c r="Y1116" s="2"/>
      <c r="AC1116" s="13"/>
      <c r="AD1116" s="13"/>
      <c r="AE1116" s="13"/>
      <c r="AF1116" s="17"/>
      <c r="AH1116" s="2"/>
      <c r="AL1116" s="17"/>
      <c r="AM1116" s="17"/>
      <c r="AN1116" s="17"/>
      <c r="AO1116" s="17"/>
      <c r="AP1116" s="17"/>
      <c r="AQ1116" s="17"/>
    </row>
    <row r="1117" spans="24:43" x14ac:dyDescent="0.45">
      <c r="X1117" s="2"/>
      <c r="Y1117" s="2"/>
      <c r="AC1117" s="13"/>
      <c r="AD1117" s="13"/>
      <c r="AE1117" s="13"/>
      <c r="AF1117" s="17"/>
      <c r="AH1117" s="2"/>
      <c r="AL1117" s="17"/>
      <c r="AM1117" s="17"/>
      <c r="AN1117" s="17"/>
      <c r="AO1117" s="17"/>
      <c r="AP1117" s="17"/>
      <c r="AQ1117" s="17"/>
    </row>
    <row r="1118" spans="24:43" x14ac:dyDescent="0.45">
      <c r="X1118" s="2"/>
      <c r="Y1118" s="2"/>
      <c r="AC1118" s="13"/>
      <c r="AD1118" s="13"/>
      <c r="AE1118" s="13"/>
      <c r="AF1118" s="17"/>
      <c r="AH1118" s="2"/>
      <c r="AL1118" s="17"/>
      <c r="AM1118" s="17"/>
      <c r="AN1118" s="17"/>
      <c r="AO1118" s="17"/>
      <c r="AP1118" s="17"/>
      <c r="AQ1118" s="17"/>
    </row>
    <row r="1119" spans="24:43" x14ac:dyDescent="0.45">
      <c r="X1119" s="2"/>
      <c r="Y1119" s="2"/>
      <c r="AC1119" s="13"/>
      <c r="AD1119" s="13"/>
      <c r="AE1119" s="13"/>
      <c r="AF1119" s="17"/>
      <c r="AH1119" s="2"/>
      <c r="AL1119" s="17"/>
      <c r="AM1119" s="17"/>
      <c r="AN1119" s="17"/>
      <c r="AO1119" s="17"/>
      <c r="AP1119" s="17"/>
      <c r="AQ1119" s="17"/>
    </row>
    <row r="1120" spans="24:43" x14ac:dyDescent="0.45">
      <c r="X1120" s="2"/>
      <c r="Y1120" s="2"/>
      <c r="AC1120" s="13"/>
      <c r="AD1120" s="13"/>
      <c r="AE1120" s="13"/>
      <c r="AF1120" s="17"/>
      <c r="AH1120" s="2"/>
      <c r="AL1120" s="17"/>
      <c r="AM1120" s="17"/>
      <c r="AN1120" s="17"/>
      <c r="AO1120" s="17"/>
      <c r="AP1120" s="17"/>
      <c r="AQ1120" s="17"/>
    </row>
    <row r="1121" spans="24:43" x14ac:dyDescent="0.45">
      <c r="X1121" s="2"/>
      <c r="Y1121" s="2"/>
      <c r="AC1121" s="13"/>
      <c r="AD1121" s="13"/>
      <c r="AE1121" s="13"/>
      <c r="AF1121" s="17"/>
      <c r="AH1121" s="2"/>
      <c r="AL1121" s="17"/>
      <c r="AM1121" s="17"/>
      <c r="AN1121" s="17"/>
      <c r="AO1121" s="17"/>
      <c r="AP1121" s="17"/>
      <c r="AQ1121" s="17"/>
    </row>
    <row r="1122" spans="24:43" x14ac:dyDescent="0.45">
      <c r="X1122" s="2"/>
      <c r="Y1122" s="2"/>
      <c r="AC1122" s="13"/>
      <c r="AD1122" s="13"/>
      <c r="AE1122" s="13"/>
      <c r="AF1122" s="17"/>
      <c r="AH1122" s="2"/>
      <c r="AL1122" s="17"/>
      <c r="AM1122" s="17"/>
      <c r="AN1122" s="17"/>
      <c r="AO1122" s="17"/>
      <c r="AP1122" s="17"/>
      <c r="AQ1122" s="17"/>
    </row>
    <row r="1123" spans="24:43" x14ac:dyDescent="0.45">
      <c r="X1123" s="2"/>
      <c r="Y1123" s="2"/>
      <c r="AC1123" s="13"/>
      <c r="AD1123" s="13"/>
      <c r="AE1123" s="13"/>
      <c r="AF1123" s="17"/>
      <c r="AH1123" s="2"/>
      <c r="AL1123" s="17"/>
      <c r="AM1123" s="17"/>
      <c r="AN1123" s="17"/>
      <c r="AO1123" s="17"/>
      <c r="AP1123" s="17"/>
      <c r="AQ1123" s="17"/>
    </row>
    <row r="1124" spans="24:43" x14ac:dyDescent="0.45">
      <c r="X1124" s="2"/>
      <c r="Y1124" s="2"/>
      <c r="AC1124" s="13"/>
      <c r="AD1124" s="13"/>
      <c r="AE1124" s="13"/>
      <c r="AF1124" s="17"/>
      <c r="AH1124" s="2"/>
      <c r="AL1124" s="17"/>
      <c r="AM1124" s="17"/>
      <c r="AN1124" s="17"/>
      <c r="AO1124" s="17"/>
      <c r="AP1124" s="17"/>
      <c r="AQ1124" s="17"/>
    </row>
    <row r="1125" spans="24:43" x14ac:dyDescent="0.45">
      <c r="X1125" s="2"/>
      <c r="Y1125" s="2"/>
      <c r="AC1125" s="13"/>
      <c r="AD1125" s="13"/>
      <c r="AE1125" s="13"/>
      <c r="AF1125" s="17"/>
      <c r="AH1125" s="2"/>
      <c r="AL1125" s="17"/>
      <c r="AM1125" s="17"/>
      <c r="AN1125" s="17"/>
      <c r="AO1125" s="17"/>
      <c r="AP1125" s="17"/>
      <c r="AQ1125" s="17"/>
    </row>
    <row r="1126" spans="24:43" x14ac:dyDescent="0.45">
      <c r="X1126" s="2"/>
      <c r="Y1126" s="2"/>
      <c r="AC1126" s="13"/>
      <c r="AD1126" s="13"/>
      <c r="AE1126" s="13"/>
      <c r="AF1126" s="17"/>
      <c r="AH1126" s="2"/>
      <c r="AL1126" s="17"/>
      <c r="AM1126" s="17"/>
      <c r="AN1126" s="17"/>
      <c r="AO1126" s="17"/>
      <c r="AP1126" s="17"/>
      <c r="AQ1126" s="17"/>
    </row>
    <row r="1127" spans="24:43" x14ac:dyDescent="0.45">
      <c r="X1127" s="2"/>
      <c r="Y1127" s="2"/>
      <c r="AC1127" s="13"/>
      <c r="AD1127" s="13"/>
      <c r="AE1127" s="13"/>
      <c r="AF1127" s="17"/>
      <c r="AH1127" s="2"/>
      <c r="AL1127" s="17"/>
      <c r="AM1127" s="17"/>
      <c r="AN1127" s="17"/>
      <c r="AO1127" s="17"/>
      <c r="AP1127" s="17"/>
      <c r="AQ1127" s="17"/>
    </row>
    <row r="1128" spans="24:43" x14ac:dyDescent="0.45">
      <c r="X1128" s="2"/>
      <c r="Y1128" s="2"/>
      <c r="AC1128" s="13"/>
      <c r="AD1128" s="13"/>
      <c r="AE1128" s="13"/>
      <c r="AF1128" s="17"/>
      <c r="AH1128" s="2"/>
      <c r="AL1128" s="17"/>
      <c r="AM1128" s="17"/>
      <c r="AN1128" s="17"/>
      <c r="AO1128" s="17"/>
      <c r="AP1128" s="17"/>
      <c r="AQ1128" s="17"/>
    </row>
    <row r="1129" spans="24:43" x14ac:dyDescent="0.45">
      <c r="X1129" s="2"/>
      <c r="Y1129" s="2"/>
      <c r="AC1129" s="13"/>
      <c r="AD1129" s="13"/>
      <c r="AE1129" s="13"/>
      <c r="AF1129" s="17"/>
      <c r="AH1129" s="2"/>
      <c r="AL1129" s="17"/>
      <c r="AM1129" s="17"/>
      <c r="AN1129" s="17"/>
      <c r="AO1129" s="17"/>
      <c r="AP1129" s="17"/>
      <c r="AQ1129" s="17"/>
    </row>
    <row r="1130" spans="24:43" x14ac:dyDescent="0.45">
      <c r="X1130" s="2"/>
      <c r="Y1130" s="2"/>
      <c r="AC1130" s="13"/>
      <c r="AD1130" s="13"/>
      <c r="AE1130" s="13"/>
      <c r="AF1130" s="17"/>
      <c r="AH1130" s="2"/>
      <c r="AL1130" s="17"/>
      <c r="AM1130" s="17"/>
      <c r="AN1130" s="17"/>
      <c r="AO1130" s="17"/>
      <c r="AP1130" s="17"/>
      <c r="AQ1130" s="17"/>
    </row>
    <row r="1131" spans="24:43" x14ac:dyDescent="0.45">
      <c r="X1131" s="2"/>
      <c r="Y1131" s="2"/>
      <c r="AC1131" s="13"/>
      <c r="AD1131" s="13"/>
      <c r="AE1131" s="13"/>
      <c r="AF1131" s="17"/>
      <c r="AH1131" s="2"/>
      <c r="AL1131" s="17"/>
      <c r="AM1131" s="17"/>
      <c r="AN1131" s="17"/>
      <c r="AO1131" s="17"/>
      <c r="AP1131" s="17"/>
      <c r="AQ1131" s="17"/>
    </row>
    <row r="1132" spans="24:43" x14ac:dyDescent="0.45">
      <c r="X1132" s="2"/>
      <c r="Y1132" s="2"/>
      <c r="AC1132" s="13"/>
      <c r="AD1132" s="13"/>
      <c r="AE1132" s="13"/>
      <c r="AF1132" s="17"/>
      <c r="AH1132" s="2"/>
      <c r="AL1132" s="17"/>
      <c r="AM1132" s="17"/>
      <c r="AN1132" s="17"/>
      <c r="AO1132" s="17"/>
      <c r="AP1132" s="17"/>
      <c r="AQ1132" s="17"/>
    </row>
    <row r="1133" spans="24:43" x14ac:dyDescent="0.45">
      <c r="X1133" s="2"/>
      <c r="Y1133" s="2"/>
      <c r="AC1133" s="13"/>
      <c r="AD1133" s="13"/>
      <c r="AE1133" s="13"/>
      <c r="AF1133" s="17"/>
      <c r="AH1133" s="2"/>
      <c r="AL1133" s="17"/>
      <c r="AM1133" s="17"/>
      <c r="AN1133" s="17"/>
      <c r="AO1133" s="17"/>
      <c r="AP1133" s="17"/>
      <c r="AQ1133" s="17"/>
    </row>
    <row r="1134" spans="24:43" x14ac:dyDescent="0.45">
      <c r="X1134" s="2"/>
      <c r="Y1134" s="2"/>
      <c r="AC1134" s="13"/>
      <c r="AD1134" s="13"/>
      <c r="AE1134" s="13"/>
      <c r="AF1134" s="17"/>
      <c r="AH1134" s="2"/>
      <c r="AL1134" s="17"/>
      <c r="AM1134" s="17"/>
      <c r="AN1134" s="17"/>
      <c r="AO1134" s="17"/>
      <c r="AP1134" s="17"/>
      <c r="AQ1134" s="17"/>
    </row>
    <row r="1135" spans="24:43" x14ac:dyDescent="0.45">
      <c r="X1135" s="2"/>
      <c r="Y1135" s="2"/>
      <c r="AC1135" s="13"/>
      <c r="AD1135" s="13"/>
      <c r="AE1135" s="13"/>
      <c r="AF1135" s="17"/>
      <c r="AH1135" s="2"/>
      <c r="AL1135" s="17"/>
      <c r="AM1135" s="17"/>
      <c r="AN1135" s="17"/>
      <c r="AO1135" s="17"/>
      <c r="AP1135" s="17"/>
      <c r="AQ1135" s="17"/>
    </row>
    <row r="1136" spans="24:43" x14ac:dyDescent="0.45">
      <c r="X1136" s="2"/>
      <c r="Y1136" s="2"/>
      <c r="AC1136" s="13"/>
      <c r="AD1136" s="13"/>
      <c r="AE1136" s="13"/>
      <c r="AF1136" s="17"/>
      <c r="AH1136" s="2"/>
      <c r="AL1136" s="17"/>
      <c r="AM1136" s="17"/>
      <c r="AN1136" s="17"/>
      <c r="AO1136" s="17"/>
      <c r="AP1136" s="17"/>
      <c r="AQ1136" s="17"/>
    </row>
    <row r="1137" spans="24:43" x14ac:dyDescent="0.45">
      <c r="X1137" s="2"/>
      <c r="Y1137" s="2"/>
      <c r="AC1137" s="13"/>
      <c r="AD1137" s="13"/>
      <c r="AE1137" s="13"/>
      <c r="AF1137" s="17"/>
      <c r="AH1137" s="2"/>
      <c r="AL1137" s="17"/>
      <c r="AM1137" s="17"/>
      <c r="AN1137" s="17"/>
      <c r="AO1137" s="17"/>
      <c r="AP1137" s="17"/>
      <c r="AQ1137" s="17"/>
    </row>
    <row r="1138" spans="24:43" x14ac:dyDescent="0.45">
      <c r="X1138" s="2"/>
      <c r="Y1138" s="2"/>
      <c r="AC1138" s="13"/>
      <c r="AD1138" s="13"/>
      <c r="AE1138" s="13"/>
      <c r="AF1138" s="17"/>
      <c r="AH1138" s="2"/>
      <c r="AL1138" s="17"/>
      <c r="AM1138" s="17"/>
      <c r="AN1138" s="17"/>
      <c r="AO1138" s="17"/>
      <c r="AP1138" s="17"/>
      <c r="AQ1138" s="17"/>
    </row>
    <row r="1139" spans="24:43" x14ac:dyDescent="0.45">
      <c r="X1139" s="2"/>
      <c r="Y1139" s="2"/>
      <c r="AC1139" s="13"/>
      <c r="AD1139" s="13"/>
      <c r="AE1139" s="13"/>
      <c r="AF1139" s="17"/>
      <c r="AH1139" s="2"/>
      <c r="AL1139" s="17"/>
      <c r="AM1139" s="17"/>
      <c r="AN1139" s="17"/>
      <c r="AO1139" s="17"/>
      <c r="AP1139" s="17"/>
      <c r="AQ1139" s="17"/>
    </row>
    <row r="1140" spans="24:43" x14ac:dyDescent="0.45">
      <c r="X1140" s="2"/>
      <c r="Y1140" s="2"/>
      <c r="AC1140" s="13"/>
      <c r="AD1140" s="13"/>
      <c r="AE1140" s="13"/>
      <c r="AF1140" s="17"/>
      <c r="AH1140" s="2"/>
      <c r="AL1140" s="17"/>
      <c r="AM1140" s="17"/>
      <c r="AN1140" s="17"/>
      <c r="AO1140" s="17"/>
      <c r="AP1140" s="17"/>
      <c r="AQ1140" s="17"/>
    </row>
    <row r="1141" spans="24:43" x14ac:dyDescent="0.45">
      <c r="X1141" s="2"/>
      <c r="Y1141" s="2"/>
      <c r="AC1141" s="13"/>
      <c r="AD1141" s="13"/>
      <c r="AE1141" s="13"/>
      <c r="AF1141" s="17"/>
      <c r="AH1141" s="2"/>
      <c r="AL1141" s="17"/>
      <c r="AM1141" s="17"/>
      <c r="AN1141" s="17"/>
      <c r="AO1141" s="17"/>
      <c r="AP1141" s="17"/>
      <c r="AQ1141" s="17"/>
    </row>
    <row r="1142" spans="24:43" x14ac:dyDescent="0.45">
      <c r="X1142" s="2"/>
      <c r="Y1142" s="2"/>
      <c r="AC1142" s="13"/>
      <c r="AD1142" s="13"/>
      <c r="AE1142" s="13"/>
      <c r="AF1142" s="17"/>
      <c r="AH1142" s="2"/>
      <c r="AL1142" s="17"/>
      <c r="AM1142" s="17"/>
      <c r="AN1142" s="17"/>
      <c r="AO1142" s="17"/>
      <c r="AP1142" s="17"/>
      <c r="AQ1142" s="17"/>
    </row>
    <row r="1143" spans="24:43" x14ac:dyDescent="0.45">
      <c r="X1143" s="2"/>
      <c r="Y1143" s="2"/>
      <c r="AC1143" s="13"/>
      <c r="AD1143" s="13"/>
      <c r="AE1143" s="13"/>
      <c r="AF1143" s="17"/>
      <c r="AH1143" s="2"/>
      <c r="AL1143" s="17"/>
      <c r="AM1143" s="17"/>
      <c r="AN1143" s="17"/>
      <c r="AO1143" s="17"/>
      <c r="AP1143" s="17"/>
      <c r="AQ1143" s="17"/>
    </row>
    <row r="1144" spans="24:43" x14ac:dyDescent="0.45">
      <c r="X1144" s="2"/>
      <c r="Y1144" s="2"/>
      <c r="AC1144" s="13"/>
      <c r="AD1144" s="13"/>
      <c r="AE1144" s="13"/>
      <c r="AF1144" s="17"/>
      <c r="AH1144" s="2"/>
      <c r="AL1144" s="17"/>
      <c r="AM1144" s="17"/>
      <c r="AN1144" s="17"/>
      <c r="AO1144" s="17"/>
      <c r="AP1144" s="17"/>
      <c r="AQ1144" s="17"/>
    </row>
    <row r="1145" spans="24:43" x14ac:dyDescent="0.45">
      <c r="X1145" s="2"/>
      <c r="Y1145" s="2"/>
      <c r="AC1145" s="13"/>
      <c r="AD1145" s="13"/>
      <c r="AE1145" s="13"/>
      <c r="AF1145" s="17"/>
      <c r="AH1145" s="2"/>
      <c r="AL1145" s="17"/>
      <c r="AM1145" s="17"/>
      <c r="AN1145" s="17"/>
      <c r="AO1145" s="17"/>
      <c r="AP1145" s="17"/>
      <c r="AQ1145" s="17"/>
    </row>
    <row r="1146" spans="24:43" x14ac:dyDescent="0.45">
      <c r="X1146" s="2"/>
      <c r="Y1146" s="2"/>
      <c r="AC1146" s="13"/>
      <c r="AD1146" s="13"/>
      <c r="AE1146" s="13"/>
      <c r="AF1146" s="17"/>
      <c r="AH1146" s="2"/>
      <c r="AL1146" s="17"/>
      <c r="AM1146" s="17"/>
      <c r="AN1146" s="17"/>
      <c r="AO1146" s="17"/>
      <c r="AP1146" s="17"/>
      <c r="AQ1146" s="17"/>
    </row>
    <row r="1147" spans="24:43" x14ac:dyDescent="0.45">
      <c r="X1147" s="2"/>
      <c r="Y1147" s="2"/>
      <c r="AC1147" s="13"/>
      <c r="AD1147" s="13"/>
      <c r="AE1147" s="13"/>
      <c r="AF1147" s="17"/>
      <c r="AH1147" s="2"/>
      <c r="AL1147" s="17"/>
      <c r="AM1147" s="17"/>
      <c r="AN1147" s="17"/>
      <c r="AO1147" s="17"/>
      <c r="AP1147" s="17"/>
      <c r="AQ1147" s="17"/>
    </row>
    <row r="1148" spans="24:43" x14ac:dyDescent="0.45">
      <c r="X1148" s="2"/>
      <c r="Y1148" s="2"/>
      <c r="AC1148" s="13"/>
      <c r="AD1148" s="13"/>
      <c r="AE1148" s="13"/>
      <c r="AF1148" s="17"/>
      <c r="AH1148" s="2"/>
      <c r="AL1148" s="17"/>
      <c r="AM1148" s="17"/>
      <c r="AN1148" s="17"/>
      <c r="AO1148" s="17"/>
      <c r="AP1148" s="17"/>
      <c r="AQ1148" s="17"/>
    </row>
    <row r="1149" spans="24:43" x14ac:dyDescent="0.45">
      <c r="X1149" s="2"/>
      <c r="Y1149" s="2"/>
      <c r="AC1149" s="13"/>
      <c r="AD1149" s="13"/>
      <c r="AE1149" s="13"/>
      <c r="AF1149" s="17"/>
      <c r="AH1149" s="2"/>
      <c r="AL1149" s="17"/>
      <c r="AM1149" s="17"/>
      <c r="AN1149" s="17"/>
      <c r="AO1149" s="17"/>
      <c r="AP1149" s="17"/>
      <c r="AQ1149" s="17"/>
    </row>
    <row r="1150" spans="24:43" x14ac:dyDescent="0.45">
      <c r="X1150" s="2"/>
      <c r="Y1150" s="2"/>
      <c r="AC1150" s="13"/>
      <c r="AD1150" s="13"/>
      <c r="AE1150" s="13"/>
      <c r="AF1150" s="17"/>
      <c r="AH1150" s="2"/>
      <c r="AL1150" s="17"/>
      <c r="AM1150" s="17"/>
      <c r="AN1150" s="17"/>
      <c r="AO1150" s="17"/>
      <c r="AP1150" s="17"/>
      <c r="AQ1150" s="17"/>
    </row>
    <row r="1151" spans="24:43" x14ac:dyDescent="0.45">
      <c r="X1151" s="2"/>
      <c r="Y1151" s="2"/>
      <c r="AC1151" s="13"/>
      <c r="AD1151" s="13"/>
      <c r="AE1151" s="13"/>
      <c r="AF1151" s="17"/>
      <c r="AH1151" s="2"/>
      <c r="AL1151" s="17"/>
      <c r="AM1151" s="17"/>
      <c r="AN1151" s="17"/>
      <c r="AO1151" s="17"/>
      <c r="AP1151" s="17"/>
      <c r="AQ1151" s="17"/>
    </row>
    <row r="1152" spans="24:43" x14ac:dyDescent="0.45">
      <c r="X1152" s="2"/>
      <c r="Y1152" s="2"/>
      <c r="AC1152" s="13"/>
      <c r="AD1152" s="13"/>
      <c r="AE1152" s="13"/>
      <c r="AF1152" s="17"/>
      <c r="AH1152" s="2"/>
      <c r="AL1152" s="17"/>
      <c r="AM1152" s="17"/>
      <c r="AN1152" s="17"/>
      <c r="AO1152" s="17"/>
      <c r="AP1152" s="17"/>
      <c r="AQ1152" s="17"/>
    </row>
    <row r="1153" spans="24:43" x14ac:dyDescent="0.45">
      <c r="X1153" s="2"/>
      <c r="Y1153" s="2"/>
      <c r="AC1153" s="13"/>
      <c r="AD1153" s="13"/>
      <c r="AE1153" s="13"/>
      <c r="AF1153" s="17"/>
      <c r="AH1153" s="2"/>
      <c r="AL1153" s="17"/>
      <c r="AM1153" s="17"/>
      <c r="AN1153" s="17"/>
      <c r="AO1153" s="17"/>
      <c r="AP1153" s="17"/>
      <c r="AQ1153" s="17"/>
    </row>
    <row r="1154" spans="24:43" x14ac:dyDescent="0.45">
      <c r="X1154" s="2"/>
      <c r="Y1154" s="2"/>
      <c r="AC1154" s="13"/>
      <c r="AD1154" s="13"/>
      <c r="AE1154" s="13"/>
      <c r="AF1154" s="17"/>
      <c r="AH1154" s="2"/>
      <c r="AL1154" s="17"/>
      <c r="AM1154" s="17"/>
      <c r="AN1154" s="17"/>
      <c r="AO1154" s="17"/>
      <c r="AP1154" s="17"/>
      <c r="AQ1154" s="17"/>
    </row>
    <row r="1155" spans="24:43" x14ac:dyDescent="0.45">
      <c r="X1155" s="2"/>
      <c r="Y1155" s="2"/>
      <c r="AC1155" s="13"/>
      <c r="AD1155" s="13"/>
      <c r="AE1155" s="13"/>
      <c r="AF1155" s="17"/>
      <c r="AH1155" s="2"/>
      <c r="AL1155" s="17"/>
      <c r="AM1155" s="17"/>
      <c r="AN1155" s="17"/>
      <c r="AO1155" s="17"/>
      <c r="AP1155" s="17"/>
      <c r="AQ1155" s="17"/>
    </row>
    <row r="1156" spans="24:43" x14ac:dyDescent="0.45">
      <c r="X1156" s="2"/>
      <c r="Y1156" s="2"/>
      <c r="AC1156" s="13"/>
      <c r="AD1156" s="13"/>
      <c r="AE1156" s="13"/>
      <c r="AF1156" s="17"/>
      <c r="AH1156" s="2"/>
      <c r="AL1156" s="17"/>
      <c r="AM1156" s="17"/>
      <c r="AN1156" s="17"/>
      <c r="AO1156" s="17"/>
      <c r="AP1156" s="17"/>
      <c r="AQ1156" s="17"/>
    </row>
    <row r="1157" spans="24:43" x14ac:dyDescent="0.45">
      <c r="X1157" s="2"/>
      <c r="Y1157" s="2"/>
      <c r="AC1157" s="13"/>
      <c r="AD1157" s="13"/>
      <c r="AE1157" s="13"/>
      <c r="AF1157" s="17"/>
      <c r="AH1157" s="2"/>
      <c r="AL1157" s="17"/>
      <c r="AM1157" s="17"/>
      <c r="AN1157" s="17"/>
      <c r="AO1157" s="17"/>
      <c r="AP1157" s="17"/>
      <c r="AQ1157" s="17"/>
    </row>
    <row r="1158" spans="24:43" x14ac:dyDescent="0.45">
      <c r="X1158" s="2"/>
      <c r="Y1158" s="2"/>
      <c r="AC1158" s="13"/>
      <c r="AD1158" s="13"/>
      <c r="AE1158" s="13"/>
      <c r="AF1158" s="17"/>
      <c r="AH1158" s="2"/>
      <c r="AL1158" s="17"/>
      <c r="AM1158" s="17"/>
      <c r="AN1158" s="17"/>
      <c r="AO1158" s="17"/>
      <c r="AP1158" s="17"/>
      <c r="AQ1158" s="17"/>
    </row>
    <row r="1159" spans="24:43" x14ac:dyDescent="0.45">
      <c r="X1159" s="2"/>
      <c r="Y1159" s="2"/>
      <c r="AC1159" s="13"/>
      <c r="AD1159" s="13"/>
      <c r="AE1159" s="13"/>
      <c r="AF1159" s="17"/>
      <c r="AH1159" s="2"/>
      <c r="AL1159" s="17"/>
      <c r="AM1159" s="17"/>
      <c r="AN1159" s="17"/>
      <c r="AO1159" s="17"/>
      <c r="AP1159" s="17"/>
      <c r="AQ1159" s="17"/>
    </row>
    <row r="1160" spans="24:43" x14ac:dyDescent="0.45">
      <c r="X1160" s="2"/>
      <c r="Y1160" s="2"/>
      <c r="AC1160" s="13"/>
      <c r="AD1160" s="13"/>
      <c r="AE1160" s="13"/>
      <c r="AF1160" s="17"/>
      <c r="AH1160" s="2"/>
      <c r="AL1160" s="17"/>
      <c r="AM1160" s="17"/>
      <c r="AN1160" s="17"/>
      <c r="AO1160" s="17"/>
      <c r="AP1160" s="17"/>
      <c r="AQ1160" s="17"/>
    </row>
    <row r="1161" spans="24:43" x14ac:dyDescent="0.45">
      <c r="X1161" s="2"/>
      <c r="Y1161" s="2"/>
      <c r="AC1161" s="13"/>
      <c r="AD1161" s="13"/>
      <c r="AE1161" s="13"/>
      <c r="AF1161" s="17"/>
      <c r="AH1161" s="2"/>
      <c r="AL1161" s="17"/>
      <c r="AM1161" s="17"/>
      <c r="AN1161" s="17"/>
      <c r="AO1161" s="17"/>
      <c r="AP1161" s="17"/>
      <c r="AQ1161" s="17"/>
    </row>
    <row r="1162" spans="24:43" x14ac:dyDescent="0.45">
      <c r="X1162" s="2"/>
      <c r="Y1162" s="2"/>
      <c r="AC1162" s="13"/>
      <c r="AD1162" s="13"/>
      <c r="AE1162" s="13"/>
      <c r="AF1162" s="17"/>
      <c r="AH1162" s="2"/>
      <c r="AL1162" s="17"/>
      <c r="AM1162" s="17"/>
      <c r="AN1162" s="17"/>
      <c r="AO1162" s="17"/>
      <c r="AP1162" s="17"/>
      <c r="AQ1162" s="17"/>
    </row>
    <row r="1163" spans="24:43" x14ac:dyDescent="0.45">
      <c r="X1163" s="2"/>
      <c r="Y1163" s="2"/>
      <c r="AC1163" s="13"/>
      <c r="AD1163" s="13"/>
      <c r="AE1163" s="13"/>
      <c r="AF1163" s="17"/>
      <c r="AH1163" s="2"/>
      <c r="AL1163" s="17"/>
      <c r="AM1163" s="17"/>
      <c r="AN1163" s="17"/>
      <c r="AO1163" s="17"/>
      <c r="AP1163" s="17"/>
      <c r="AQ1163" s="17"/>
    </row>
    <row r="1164" spans="24:43" x14ac:dyDescent="0.45">
      <c r="X1164" s="2"/>
      <c r="Y1164" s="2"/>
      <c r="AC1164" s="13"/>
      <c r="AD1164" s="13"/>
      <c r="AE1164" s="13"/>
      <c r="AF1164" s="17"/>
      <c r="AH1164" s="2"/>
      <c r="AL1164" s="17"/>
      <c r="AM1164" s="17"/>
      <c r="AN1164" s="17"/>
      <c r="AO1164" s="17"/>
      <c r="AP1164" s="17"/>
      <c r="AQ1164" s="17"/>
    </row>
    <row r="1165" spans="24:43" x14ac:dyDescent="0.45">
      <c r="X1165" s="2"/>
      <c r="Y1165" s="2"/>
      <c r="AC1165" s="13"/>
      <c r="AD1165" s="13"/>
      <c r="AE1165" s="13"/>
      <c r="AF1165" s="17"/>
      <c r="AH1165" s="2"/>
      <c r="AL1165" s="17"/>
      <c r="AM1165" s="17"/>
      <c r="AN1165" s="17"/>
      <c r="AO1165" s="17"/>
      <c r="AP1165" s="17"/>
      <c r="AQ1165" s="17"/>
    </row>
    <row r="1166" spans="24:43" x14ac:dyDescent="0.45">
      <c r="X1166" s="2"/>
      <c r="Y1166" s="2"/>
      <c r="AC1166" s="13"/>
      <c r="AD1166" s="13"/>
      <c r="AE1166" s="13"/>
      <c r="AF1166" s="17"/>
      <c r="AH1166" s="2"/>
      <c r="AL1166" s="17"/>
      <c r="AM1166" s="17"/>
      <c r="AN1166" s="17"/>
      <c r="AO1166" s="17"/>
      <c r="AP1166" s="17"/>
      <c r="AQ1166" s="17"/>
    </row>
    <row r="1167" spans="24:43" x14ac:dyDescent="0.45">
      <c r="X1167" s="2"/>
      <c r="Y1167" s="2"/>
      <c r="AC1167" s="13"/>
      <c r="AD1167" s="13"/>
      <c r="AE1167" s="13"/>
      <c r="AF1167" s="17"/>
      <c r="AH1167" s="2"/>
      <c r="AL1167" s="17"/>
      <c r="AM1167" s="17"/>
      <c r="AN1167" s="17"/>
      <c r="AO1167" s="17"/>
      <c r="AP1167" s="17"/>
      <c r="AQ1167" s="17"/>
    </row>
    <row r="1168" spans="24:43" x14ac:dyDescent="0.45">
      <c r="X1168" s="2"/>
      <c r="Y1168" s="2"/>
      <c r="AC1168" s="13"/>
      <c r="AD1168" s="13"/>
      <c r="AE1168" s="13"/>
      <c r="AF1168" s="17"/>
      <c r="AH1168" s="2"/>
      <c r="AL1168" s="17"/>
      <c r="AM1168" s="17"/>
      <c r="AN1168" s="17"/>
      <c r="AO1168" s="17"/>
      <c r="AP1168" s="17"/>
      <c r="AQ1168" s="17"/>
    </row>
    <row r="1169" spans="24:43" x14ac:dyDescent="0.45">
      <c r="X1169" s="2"/>
      <c r="Y1169" s="2"/>
      <c r="AC1169" s="13"/>
      <c r="AD1169" s="13"/>
      <c r="AE1169" s="13"/>
      <c r="AF1169" s="17"/>
      <c r="AH1169" s="2"/>
      <c r="AL1169" s="17"/>
      <c r="AM1169" s="17"/>
      <c r="AN1169" s="17"/>
      <c r="AO1169" s="17"/>
      <c r="AP1169" s="17"/>
      <c r="AQ1169" s="17"/>
    </row>
    <row r="1170" spans="24:43" x14ac:dyDescent="0.45">
      <c r="X1170" s="2"/>
      <c r="Y1170" s="2"/>
      <c r="AC1170" s="13"/>
      <c r="AD1170" s="13"/>
      <c r="AE1170" s="13"/>
      <c r="AF1170" s="17"/>
      <c r="AH1170" s="2"/>
      <c r="AL1170" s="17"/>
      <c r="AM1170" s="17"/>
      <c r="AN1170" s="17"/>
      <c r="AO1170" s="17"/>
      <c r="AP1170" s="17"/>
      <c r="AQ1170" s="17"/>
    </row>
    <row r="1171" spans="24:43" x14ac:dyDescent="0.45">
      <c r="X1171" s="2"/>
      <c r="Y1171" s="2"/>
      <c r="AC1171" s="13"/>
      <c r="AD1171" s="13"/>
      <c r="AE1171" s="13"/>
      <c r="AF1171" s="17"/>
      <c r="AH1171" s="2"/>
      <c r="AL1171" s="17"/>
      <c r="AM1171" s="17"/>
      <c r="AN1171" s="17"/>
      <c r="AO1171" s="17"/>
      <c r="AP1171" s="17"/>
      <c r="AQ1171" s="17"/>
    </row>
    <row r="1172" spans="24:43" x14ac:dyDescent="0.45">
      <c r="X1172" s="2"/>
      <c r="Y1172" s="2"/>
      <c r="AC1172" s="13"/>
      <c r="AD1172" s="13"/>
      <c r="AE1172" s="13"/>
      <c r="AF1172" s="17"/>
      <c r="AH1172" s="2"/>
      <c r="AL1172" s="17"/>
      <c r="AM1172" s="17"/>
      <c r="AN1172" s="17"/>
      <c r="AO1172" s="17"/>
      <c r="AP1172" s="17"/>
      <c r="AQ1172" s="17"/>
    </row>
    <row r="1173" spans="24:43" x14ac:dyDescent="0.45">
      <c r="X1173" s="2"/>
      <c r="Y1173" s="2"/>
      <c r="AC1173" s="13"/>
      <c r="AD1173" s="13"/>
      <c r="AE1173" s="13"/>
      <c r="AF1173" s="17"/>
      <c r="AH1173" s="2"/>
      <c r="AL1173" s="17"/>
      <c r="AM1173" s="17"/>
      <c r="AN1173" s="17"/>
      <c r="AO1173" s="17"/>
      <c r="AP1173" s="17"/>
      <c r="AQ1173" s="17"/>
    </row>
    <row r="1174" spans="24:43" x14ac:dyDescent="0.45">
      <c r="X1174" s="2"/>
      <c r="Y1174" s="2"/>
      <c r="AC1174" s="13"/>
      <c r="AD1174" s="13"/>
      <c r="AE1174" s="13"/>
      <c r="AF1174" s="17"/>
      <c r="AH1174" s="2"/>
      <c r="AL1174" s="17"/>
      <c r="AM1174" s="17"/>
      <c r="AN1174" s="17"/>
      <c r="AO1174" s="17"/>
      <c r="AP1174" s="17"/>
      <c r="AQ1174" s="17"/>
    </row>
    <row r="1175" spans="24:43" x14ac:dyDescent="0.45">
      <c r="X1175" s="2"/>
      <c r="Y1175" s="2"/>
      <c r="AC1175" s="13"/>
      <c r="AD1175" s="13"/>
      <c r="AE1175" s="13"/>
      <c r="AF1175" s="17"/>
      <c r="AH1175" s="2"/>
      <c r="AL1175" s="17"/>
      <c r="AM1175" s="17"/>
      <c r="AN1175" s="17"/>
      <c r="AO1175" s="17"/>
      <c r="AP1175" s="17"/>
      <c r="AQ1175" s="17"/>
    </row>
    <row r="1176" spans="24:43" x14ac:dyDescent="0.45">
      <c r="X1176" s="2"/>
      <c r="Y1176" s="2"/>
      <c r="AC1176" s="13"/>
      <c r="AD1176" s="13"/>
      <c r="AE1176" s="13"/>
      <c r="AF1176" s="17"/>
      <c r="AH1176" s="2"/>
      <c r="AL1176" s="17"/>
      <c r="AM1176" s="17"/>
      <c r="AN1176" s="17"/>
      <c r="AO1176" s="17"/>
      <c r="AP1176" s="17"/>
      <c r="AQ1176" s="17"/>
    </row>
    <row r="1177" spans="24:43" x14ac:dyDescent="0.45">
      <c r="X1177" s="2"/>
      <c r="Y1177" s="2"/>
      <c r="AC1177" s="13"/>
      <c r="AD1177" s="13"/>
      <c r="AE1177" s="13"/>
      <c r="AF1177" s="17"/>
      <c r="AH1177" s="2"/>
      <c r="AL1177" s="17"/>
      <c r="AM1177" s="17"/>
      <c r="AN1177" s="17"/>
      <c r="AO1177" s="17"/>
      <c r="AP1177" s="17"/>
      <c r="AQ1177" s="17"/>
    </row>
    <row r="1178" spans="24:43" x14ac:dyDescent="0.45">
      <c r="X1178" s="2"/>
      <c r="Y1178" s="2"/>
      <c r="AC1178" s="13"/>
      <c r="AD1178" s="13"/>
      <c r="AE1178" s="13"/>
      <c r="AF1178" s="17"/>
      <c r="AH1178" s="2"/>
      <c r="AL1178" s="17"/>
      <c r="AM1178" s="17"/>
      <c r="AN1178" s="17"/>
      <c r="AO1178" s="17"/>
      <c r="AP1178" s="17"/>
      <c r="AQ1178" s="17"/>
    </row>
    <row r="1179" spans="24:43" x14ac:dyDescent="0.45">
      <c r="X1179" s="2"/>
      <c r="Y1179" s="2"/>
      <c r="AC1179" s="13"/>
      <c r="AD1179" s="13"/>
      <c r="AE1179" s="13"/>
      <c r="AF1179" s="17"/>
      <c r="AH1179" s="2"/>
      <c r="AL1179" s="17"/>
      <c r="AM1179" s="17"/>
      <c r="AN1179" s="17"/>
      <c r="AO1179" s="17"/>
      <c r="AP1179" s="17"/>
      <c r="AQ1179" s="17"/>
    </row>
    <row r="1180" spans="24:43" x14ac:dyDescent="0.45">
      <c r="X1180" s="2"/>
      <c r="Y1180" s="2"/>
      <c r="AC1180" s="13"/>
      <c r="AD1180" s="13"/>
      <c r="AE1180" s="13"/>
      <c r="AF1180" s="17"/>
      <c r="AH1180" s="2"/>
      <c r="AL1180" s="17"/>
      <c r="AM1180" s="17"/>
      <c r="AN1180" s="17"/>
      <c r="AO1180" s="17"/>
      <c r="AP1180" s="17"/>
      <c r="AQ1180" s="17"/>
    </row>
    <row r="1181" spans="24:43" x14ac:dyDescent="0.45">
      <c r="X1181" s="2"/>
      <c r="Y1181" s="2"/>
      <c r="AC1181" s="13"/>
      <c r="AD1181" s="13"/>
      <c r="AE1181" s="13"/>
      <c r="AF1181" s="17"/>
      <c r="AH1181" s="2"/>
      <c r="AL1181" s="17"/>
      <c r="AM1181" s="17"/>
      <c r="AN1181" s="17"/>
      <c r="AO1181" s="17"/>
      <c r="AP1181" s="17"/>
      <c r="AQ1181" s="17"/>
    </row>
    <row r="1182" spans="24:43" x14ac:dyDescent="0.45">
      <c r="X1182" s="2"/>
      <c r="Y1182" s="2"/>
      <c r="AC1182" s="13"/>
      <c r="AD1182" s="13"/>
      <c r="AE1182" s="13"/>
      <c r="AF1182" s="17"/>
      <c r="AH1182" s="2"/>
      <c r="AL1182" s="17"/>
      <c r="AM1182" s="17"/>
      <c r="AN1182" s="17"/>
      <c r="AO1182" s="17"/>
      <c r="AP1182" s="17"/>
      <c r="AQ1182" s="17"/>
    </row>
    <row r="1183" spans="24:43" x14ac:dyDescent="0.45">
      <c r="X1183" s="2"/>
      <c r="Y1183" s="2"/>
      <c r="AC1183" s="13"/>
      <c r="AD1183" s="13"/>
      <c r="AE1183" s="13"/>
      <c r="AF1183" s="17"/>
      <c r="AH1183" s="2"/>
      <c r="AL1183" s="17"/>
      <c r="AM1183" s="17"/>
      <c r="AN1183" s="17"/>
      <c r="AO1183" s="17"/>
      <c r="AP1183" s="17"/>
      <c r="AQ1183" s="17"/>
    </row>
    <row r="1184" spans="24:43" x14ac:dyDescent="0.45">
      <c r="X1184" s="2"/>
      <c r="Y1184" s="2"/>
      <c r="AC1184" s="13"/>
      <c r="AD1184" s="13"/>
      <c r="AE1184" s="13"/>
      <c r="AF1184" s="17"/>
      <c r="AH1184" s="2"/>
      <c r="AL1184" s="17"/>
      <c r="AM1184" s="17"/>
      <c r="AN1184" s="17"/>
      <c r="AO1184" s="17"/>
      <c r="AP1184" s="17"/>
      <c r="AQ1184" s="17"/>
    </row>
    <row r="1185" spans="24:43" x14ac:dyDescent="0.45">
      <c r="X1185" s="2"/>
      <c r="Y1185" s="2"/>
      <c r="AC1185" s="13"/>
      <c r="AD1185" s="13"/>
      <c r="AE1185" s="13"/>
      <c r="AF1185" s="17"/>
      <c r="AH1185" s="2"/>
      <c r="AL1185" s="17"/>
      <c r="AM1185" s="17"/>
      <c r="AN1185" s="17"/>
      <c r="AO1185" s="17"/>
      <c r="AP1185" s="17"/>
      <c r="AQ1185" s="17"/>
    </row>
    <row r="1186" spans="24:43" x14ac:dyDescent="0.45">
      <c r="X1186" s="2"/>
      <c r="Y1186" s="2"/>
      <c r="AC1186" s="13"/>
      <c r="AD1186" s="13"/>
      <c r="AE1186" s="13"/>
      <c r="AF1186" s="17"/>
      <c r="AH1186" s="2"/>
      <c r="AL1186" s="17"/>
      <c r="AM1186" s="17"/>
      <c r="AN1186" s="17"/>
      <c r="AO1186" s="17"/>
      <c r="AP1186" s="17"/>
      <c r="AQ1186" s="17"/>
    </row>
    <row r="1187" spans="24:43" x14ac:dyDescent="0.45">
      <c r="X1187" s="2"/>
      <c r="Y1187" s="2"/>
      <c r="AC1187" s="13"/>
      <c r="AD1187" s="13"/>
      <c r="AE1187" s="13"/>
      <c r="AF1187" s="17"/>
      <c r="AH1187" s="2"/>
      <c r="AL1187" s="17"/>
      <c r="AM1187" s="17"/>
      <c r="AN1187" s="17"/>
      <c r="AO1187" s="17"/>
      <c r="AP1187" s="17"/>
      <c r="AQ1187" s="17"/>
    </row>
    <row r="1188" spans="24:43" x14ac:dyDescent="0.45">
      <c r="X1188" s="2"/>
      <c r="Y1188" s="2"/>
      <c r="AC1188" s="13"/>
      <c r="AD1188" s="13"/>
      <c r="AE1188" s="13"/>
      <c r="AF1188" s="17"/>
      <c r="AH1188" s="2"/>
      <c r="AL1188" s="17"/>
      <c r="AM1188" s="17"/>
      <c r="AN1188" s="17"/>
      <c r="AO1188" s="17"/>
      <c r="AP1188" s="17"/>
      <c r="AQ1188" s="17"/>
    </row>
    <row r="1189" spans="24:43" x14ac:dyDescent="0.45">
      <c r="X1189" s="2"/>
      <c r="Y1189" s="2"/>
      <c r="AC1189" s="13"/>
      <c r="AD1189" s="13"/>
      <c r="AE1189" s="13"/>
      <c r="AF1189" s="17"/>
      <c r="AH1189" s="2"/>
      <c r="AL1189" s="17"/>
      <c r="AM1189" s="17"/>
      <c r="AN1189" s="17"/>
      <c r="AO1189" s="17"/>
      <c r="AP1189" s="17"/>
      <c r="AQ1189" s="17"/>
    </row>
    <row r="1190" spans="24:43" x14ac:dyDescent="0.45">
      <c r="X1190" s="2"/>
      <c r="Y1190" s="2"/>
      <c r="AC1190" s="13"/>
      <c r="AD1190" s="13"/>
      <c r="AE1190" s="13"/>
      <c r="AF1190" s="17"/>
      <c r="AH1190" s="2"/>
      <c r="AL1190" s="17"/>
      <c r="AM1190" s="17"/>
      <c r="AN1190" s="17"/>
      <c r="AO1190" s="17"/>
      <c r="AP1190" s="17"/>
      <c r="AQ1190" s="17"/>
    </row>
    <row r="1191" spans="24:43" x14ac:dyDescent="0.45">
      <c r="X1191" s="2"/>
      <c r="Y1191" s="2"/>
      <c r="AC1191" s="13"/>
      <c r="AD1191" s="13"/>
      <c r="AE1191" s="13"/>
      <c r="AF1191" s="17"/>
      <c r="AH1191" s="2"/>
      <c r="AL1191" s="17"/>
      <c r="AM1191" s="17"/>
      <c r="AN1191" s="17"/>
      <c r="AO1191" s="17"/>
      <c r="AP1191" s="17"/>
      <c r="AQ1191" s="17"/>
    </row>
    <row r="1192" spans="24:43" x14ac:dyDescent="0.45">
      <c r="X1192" s="2"/>
      <c r="Y1192" s="2"/>
      <c r="AC1192" s="13"/>
      <c r="AD1192" s="13"/>
      <c r="AE1192" s="13"/>
      <c r="AF1192" s="17"/>
      <c r="AH1192" s="2"/>
      <c r="AL1192" s="17"/>
      <c r="AM1192" s="17"/>
      <c r="AN1192" s="17"/>
      <c r="AO1192" s="17"/>
      <c r="AP1192" s="17"/>
      <c r="AQ1192" s="17"/>
    </row>
    <row r="1193" spans="24:43" x14ac:dyDescent="0.45">
      <c r="X1193" s="2"/>
      <c r="Y1193" s="2"/>
      <c r="AC1193" s="13"/>
      <c r="AD1193" s="13"/>
      <c r="AE1193" s="13"/>
      <c r="AF1193" s="17"/>
      <c r="AH1193" s="2"/>
      <c r="AL1193" s="17"/>
      <c r="AM1193" s="17"/>
      <c r="AN1193" s="17"/>
      <c r="AO1193" s="17"/>
      <c r="AP1193" s="17"/>
      <c r="AQ1193" s="17"/>
    </row>
    <row r="1194" spans="24:43" x14ac:dyDescent="0.45">
      <c r="X1194" s="2"/>
      <c r="Y1194" s="2"/>
      <c r="AC1194" s="13"/>
      <c r="AD1194" s="13"/>
      <c r="AE1194" s="13"/>
      <c r="AF1194" s="17"/>
      <c r="AH1194" s="2"/>
      <c r="AL1194" s="17"/>
      <c r="AM1194" s="17"/>
      <c r="AN1194" s="17"/>
      <c r="AO1194" s="17"/>
      <c r="AP1194" s="17"/>
      <c r="AQ1194" s="17"/>
    </row>
    <row r="1195" spans="24:43" x14ac:dyDescent="0.45">
      <c r="X1195" s="2"/>
      <c r="Y1195" s="2"/>
      <c r="AC1195" s="13"/>
      <c r="AD1195" s="13"/>
      <c r="AE1195" s="13"/>
      <c r="AF1195" s="17"/>
      <c r="AH1195" s="2"/>
      <c r="AL1195" s="17"/>
      <c r="AM1195" s="17"/>
      <c r="AN1195" s="17"/>
      <c r="AO1195" s="17"/>
      <c r="AP1195" s="17"/>
      <c r="AQ1195" s="17"/>
    </row>
    <row r="1196" spans="24:43" x14ac:dyDescent="0.45">
      <c r="X1196" s="2"/>
      <c r="Y1196" s="2"/>
      <c r="AC1196" s="13"/>
      <c r="AD1196" s="13"/>
      <c r="AE1196" s="13"/>
      <c r="AF1196" s="17"/>
      <c r="AH1196" s="2"/>
      <c r="AL1196" s="17"/>
      <c r="AM1196" s="17"/>
      <c r="AN1196" s="17"/>
      <c r="AO1196" s="17"/>
      <c r="AP1196" s="17"/>
      <c r="AQ1196" s="17"/>
    </row>
    <row r="1197" spans="24:43" x14ac:dyDescent="0.45">
      <c r="X1197" s="2"/>
      <c r="Y1197" s="2"/>
      <c r="AC1197" s="13"/>
      <c r="AD1197" s="13"/>
      <c r="AE1197" s="13"/>
      <c r="AF1197" s="17"/>
      <c r="AH1197" s="2"/>
      <c r="AL1197" s="17"/>
      <c r="AM1197" s="17"/>
      <c r="AN1197" s="17"/>
      <c r="AO1197" s="17"/>
      <c r="AP1197" s="17"/>
      <c r="AQ1197" s="17"/>
    </row>
    <row r="1198" spans="24:43" x14ac:dyDescent="0.45">
      <c r="X1198" s="2"/>
      <c r="Y1198" s="2"/>
      <c r="AC1198" s="13"/>
      <c r="AD1198" s="13"/>
      <c r="AE1198" s="13"/>
      <c r="AF1198" s="17"/>
      <c r="AH1198" s="2"/>
      <c r="AL1198" s="17"/>
      <c r="AM1198" s="17"/>
      <c r="AN1198" s="17"/>
      <c r="AO1198" s="17"/>
      <c r="AP1198" s="17"/>
      <c r="AQ1198" s="17"/>
    </row>
    <row r="1199" spans="24:43" x14ac:dyDescent="0.45">
      <c r="X1199" s="2"/>
      <c r="Y1199" s="2"/>
      <c r="AC1199" s="13"/>
      <c r="AD1199" s="13"/>
      <c r="AE1199" s="13"/>
      <c r="AF1199" s="17"/>
      <c r="AH1199" s="2"/>
      <c r="AL1199" s="17"/>
      <c r="AM1199" s="17"/>
      <c r="AN1199" s="17"/>
      <c r="AO1199" s="17"/>
      <c r="AP1199" s="17"/>
      <c r="AQ1199" s="17"/>
    </row>
    <row r="1200" spans="24:43" x14ac:dyDescent="0.45">
      <c r="X1200" s="2"/>
      <c r="Y1200" s="2"/>
      <c r="AC1200" s="13"/>
      <c r="AD1200" s="13"/>
      <c r="AE1200" s="13"/>
      <c r="AF1200" s="17"/>
      <c r="AH1200" s="2"/>
      <c r="AL1200" s="17"/>
      <c r="AM1200" s="17"/>
      <c r="AN1200" s="17"/>
      <c r="AO1200" s="17"/>
      <c r="AP1200" s="17"/>
      <c r="AQ1200" s="17"/>
    </row>
    <row r="1201" spans="24:43" x14ac:dyDescent="0.45">
      <c r="X1201" s="2"/>
      <c r="Y1201" s="2"/>
      <c r="AC1201" s="13"/>
      <c r="AD1201" s="13"/>
      <c r="AE1201" s="13"/>
      <c r="AF1201" s="17"/>
      <c r="AH1201" s="2"/>
      <c r="AL1201" s="17"/>
      <c r="AM1201" s="17"/>
      <c r="AN1201" s="17"/>
      <c r="AO1201" s="17"/>
      <c r="AP1201" s="17"/>
      <c r="AQ1201" s="17"/>
    </row>
    <row r="1202" spans="24:43" x14ac:dyDescent="0.45">
      <c r="X1202" s="2"/>
      <c r="Y1202" s="2"/>
      <c r="AC1202" s="13"/>
      <c r="AD1202" s="13"/>
      <c r="AE1202" s="13"/>
      <c r="AF1202" s="17"/>
      <c r="AH1202" s="2"/>
      <c r="AL1202" s="17"/>
      <c r="AM1202" s="17"/>
      <c r="AN1202" s="17"/>
      <c r="AO1202" s="17"/>
      <c r="AP1202" s="17"/>
      <c r="AQ1202" s="17"/>
    </row>
    <row r="1203" spans="24:43" x14ac:dyDescent="0.45">
      <c r="X1203" s="2"/>
      <c r="Y1203" s="2"/>
      <c r="AC1203" s="13"/>
      <c r="AD1203" s="13"/>
      <c r="AE1203" s="13"/>
      <c r="AF1203" s="17"/>
      <c r="AH1203" s="2"/>
      <c r="AL1203" s="17"/>
      <c r="AM1203" s="17"/>
      <c r="AN1203" s="17"/>
      <c r="AO1203" s="17"/>
      <c r="AP1203" s="17"/>
      <c r="AQ1203" s="17"/>
    </row>
    <row r="1204" spans="24:43" x14ac:dyDescent="0.45">
      <c r="X1204" s="2"/>
      <c r="Y1204" s="2"/>
      <c r="AC1204" s="13"/>
      <c r="AD1204" s="13"/>
      <c r="AE1204" s="13"/>
      <c r="AF1204" s="17"/>
      <c r="AH1204" s="2"/>
      <c r="AL1204" s="17"/>
      <c r="AM1204" s="17"/>
      <c r="AN1204" s="17"/>
      <c r="AO1204" s="17"/>
      <c r="AP1204" s="17"/>
      <c r="AQ1204" s="17"/>
    </row>
    <row r="1205" spans="24:43" x14ac:dyDescent="0.45">
      <c r="X1205" s="2"/>
      <c r="Y1205" s="2"/>
      <c r="AC1205" s="13"/>
      <c r="AD1205" s="13"/>
      <c r="AE1205" s="13"/>
      <c r="AF1205" s="17"/>
      <c r="AH1205" s="2"/>
      <c r="AL1205" s="17"/>
      <c r="AM1205" s="17"/>
      <c r="AN1205" s="17"/>
      <c r="AO1205" s="17"/>
      <c r="AP1205" s="17"/>
      <c r="AQ1205" s="17"/>
    </row>
    <row r="1206" spans="24:43" x14ac:dyDescent="0.45">
      <c r="X1206" s="2"/>
      <c r="Y1206" s="2"/>
      <c r="AC1206" s="13"/>
      <c r="AD1206" s="13"/>
      <c r="AE1206" s="13"/>
      <c r="AF1206" s="17"/>
      <c r="AH1206" s="2"/>
      <c r="AL1206" s="17"/>
      <c r="AM1206" s="17"/>
      <c r="AN1206" s="17"/>
      <c r="AO1206" s="17"/>
      <c r="AP1206" s="17"/>
      <c r="AQ1206" s="17"/>
    </row>
    <row r="1207" spans="24:43" x14ac:dyDescent="0.45">
      <c r="X1207" s="2"/>
      <c r="Y1207" s="2"/>
      <c r="AC1207" s="13"/>
      <c r="AD1207" s="13"/>
      <c r="AE1207" s="13"/>
      <c r="AF1207" s="17"/>
      <c r="AH1207" s="2"/>
      <c r="AL1207" s="17"/>
      <c r="AM1207" s="17"/>
      <c r="AN1207" s="17"/>
      <c r="AO1207" s="17"/>
      <c r="AP1207" s="17"/>
      <c r="AQ1207" s="17"/>
    </row>
    <row r="1208" spans="24:43" x14ac:dyDescent="0.45">
      <c r="X1208" s="2"/>
      <c r="Y1208" s="2"/>
      <c r="AC1208" s="13"/>
      <c r="AD1208" s="13"/>
      <c r="AE1208" s="13"/>
      <c r="AF1208" s="17"/>
      <c r="AH1208" s="2"/>
      <c r="AL1208" s="17"/>
      <c r="AM1208" s="17"/>
      <c r="AN1208" s="17"/>
      <c r="AO1208" s="17"/>
      <c r="AP1208" s="17"/>
      <c r="AQ1208" s="17"/>
    </row>
    <row r="1209" spans="24:43" x14ac:dyDescent="0.45">
      <c r="X1209" s="2"/>
      <c r="Y1209" s="2"/>
      <c r="AC1209" s="13"/>
      <c r="AD1209" s="13"/>
      <c r="AE1209" s="13"/>
      <c r="AF1209" s="17"/>
      <c r="AH1209" s="2"/>
      <c r="AL1209" s="17"/>
      <c r="AM1209" s="17"/>
      <c r="AN1209" s="17"/>
      <c r="AO1209" s="17"/>
      <c r="AP1209" s="17"/>
      <c r="AQ1209" s="17"/>
    </row>
    <row r="1210" spans="24:43" x14ac:dyDescent="0.45">
      <c r="X1210" s="2"/>
      <c r="Y1210" s="2"/>
      <c r="AC1210" s="13"/>
      <c r="AD1210" s="13"/>
      <c r="AE1210" s="13"/>
      <c r="AF1210" s="17"/>
      <c r="AH1210" s="2"/>
      <c r="AL1210" s="17"/>
      <c r="AM1210" s="17"/>
      <c r="AN1210" s="17"/>
      <c r="AO1210" s="17"/>
      <c r="AP1210" s="17"/>
      <c r="AQ1210" s="17"/>
    </row>
    <row r="1211" spans="24:43" x14ac:dyDescent="0.45">
      <c r="X1211" s="2"/>
      <c r="Y1211" s="2"/>
      <c r="AC1211" s="13"/>
      <c r="AD1211" s="13"/>
      <c r="AE1211" s="13"/>
      <c r="AF1211" s="17"/>
      <c r="AH1211" s="2"/>
      <c r="AL1211" s="17"/>
      <c r="AM1211" s="17"/>
      <c r="AN1211" s="17"/>
      <c r="AO1211" s="17"/>
      <c r="AP1211" s="17"/>
      <c r="AQ1211" s="17"/>
    </row>
    <row r="1212" spans="24:43" x14ac:dyDescent="0.45">
      <c r="X1212" s="2"/>
      <c r="Y1212" s="2"/>
      <c r="AC1212" s="13"/>
      <c r="AD1212" s="13"/>
      <c r="AE1212" s="13"/>
      <c r="AF1212" s="17"/>
      <c r="AH1212" s="2"/>
      <c r="AL1212" s="17"/>
      <c r="AM1212" s="17"/>
      <c r="AN1212" s="17"/>
      <c r="AO1212" s="17"/>
      <c r="AP1212" s="17"/>
      <c r="AQ1212" s="17"/>
    </row>
    <row r="1213" spans="24:43" x14ac:dyDescent="0.45">
      <c r="X1213" s="2"/>
      <c r="Y1213" s="2"/>
      <c r="AC1213" s="13"/>
      <c r="AD1213" s="13"/>
      <c r="AE1213" s="13"/>
      <c r="AF1213" s="17"/>
      <c r="AH1213" s="2"/>
      <c r="AL1213" s="17"/>
      <c r="AM1213" s="17"/>
      <c r="AN1213" s="17"/>
      <c r="AO1213" s="17"/>
      <c r="AP1213" s="17"/>
      <c r="AQ1213" s="17"/>
    </row>
    <row r="1214" spans="24:43" x14ac:dyDescent="0.45">
      <c r="X1214" s="2"/>
      <c r="Y1214" s="2"/>
      <c r="AC1214" s="13"/>
      <c r="AD1214" s="13"/>
      <c r="AE1214" s="13"/>
      <c r="AF1214" s="17"/>
      <c r="AH1214" s="2"/>
      <c r="AL1214" s="17"/>
      <c r="AM1214" s="17"/>
      <c r="AN1214" s="17"/>
      <c r="AO1214" s="17"/>
      <c r="AP1214" s="17"/>
      <c r="AQ1214" s="17"/>
    </row>
    <row r="1215" spans="24:43" x14ac:dyDescent="0.45">
      <c r="X1215" s="2"/>
      <c r="Y1215" s="2"/>
      <c r="AC1215" s="13"/>
      <c r="AD1215" s="13"/>
      <c r="AE1215" s="13"/>
      <c r="AF1215" s="17"/>
      <c r="AH1215" s="2"/>
      <c r="AL1215" s="17"/>
      <c r="AM1215" s="17"/>
      <c r="AN1215" s="17"/>
      <c r="AO1215" s="17"/>
      <c r="AP1215" s="17"/>
      <c r="AQ1215" s="17"/>
    </row>
    <row r="1216" spans="24:43" x14ac:dyDescent="0.45">
      <c r="X1216" s="2"/>
      <c r="Y1216" s="2"/>
      <c r="AC1216" s="13"/>
      <c r="AD1216" s="13"/>
      <c r="AE1216" s="13"/>
      <c r="AF1216" s="17"/>
      <c r="AH1216" s="2"/>
      <c r="AL1216" s="17"/>
      <c r="AM1216" s="17"/>
      <c r="AN1216" s="17"/>
      <c r="AO1216" s="17"/>
      <c r="AP1216" s="17"/>
      <c r="AQ1216" s="17"/>
    </row>
    <row r="1217" spans="24:43" x14ac:dyDescent="0.45">
      <c r="X1217" s="2"/>
      <c r="Y1217" s="2"/>
      <c r="AC1217" s="13"/>
      <c r="AD1217" s="13"/>
      <c r="AE1217" s="13"/>
      <c r="AF1217" s="17"/>
      <c r="AH1217" s="2"/>
      <c r="AL1217" s="17"/>
      <c r="AM1217" s="17"/>
      <c r="AN1217" s="17"/>
      <c r="AO1217" s="17"/>
      <c r="AP1217" s="17"/>
      <c r="AQ1217" s="17"/>
    </row>
    <row r="1218" spans="24:43" x14ac:dyDescent="0.45">
      <c r="X1218" s="2"/>
      <c r="Y1218" s="2"/>
      <c r="AC1218" s="13"/>
      <c r="AD1218" s="13"/>
      <c r="AE1218" s="13"/>
      <c r="AF1218" s="17"/>
      <c r="AH1218" s="2"/>
      <c r="AL1218" s="17"/>
      <c r="AM1218" s="17"/>
      <c r="AN1218" s="17"/>
      <c r="AO1218" s="17"/>
      <c r="AP1218" s="17"/>
      <c r="AQ1218" s="17"/>
    </row>
    <row r="1219" spans="24:43" x14ac:dyDescent="0.45">
      <c r="X1219" s="2"/>
      <c r="Y1219" s="2"/>
      <c r="AC1219" s="13"/>
      <c r="AD1219" s="13"/>
      <c r="AE1219" s="13"/>
      <c r="AF1219" s="17"/>
      <c r="AH1219" s="2"/>
      <c r="AL1219" s="17"/>
      <c r="AM1219" s="17"/>
      <c r="AN1219" s="17"/>
      <c r="AO1219" s="17"/>
      <c r="AP1219" s="17"/>
      <c r="AQ1219" s="17"/>
    </row>
    <row r="1220" spans="24:43" x14ac:dyDescent="0.45">
      <c r="X1220" s="2"/>
      <c r="Y1220" s="2"/>
      <c r="AC1220" s="13"/>
      <c r="AD1220" s="13"/>
      <c r="AE1220" s="13"/>
      <c r="AF1220" s="17"/>
      <c r="AH1220" s="2"/>
      <c r="AL1220" s="17"/>
      <c r="AM1220" s="17"/>
      <c r="AN1220" s="17"/>
      <c r="AO1220" s="17"/>
      <c r="AP1220" s="17"/>
      <c r="AQ1220" s="17"/>
    </row>
    <row r="1221" spans="24:43" x14ac:dyDescent="0.45">
      <c r="X1221" s="2"/>
      <c r="Y1221" s="2"/>
      <c r="AC1221" s="13"/>
      <c r="AD1221" s="13"/>
      <c r="AE1221" s="13"/>
      <c r="AF1221" s="17"/>
      <c r="AH1221" s="2"/>
      <c r="AL1221" s="17"/>
      <c r="AM1221" s="17"/>
      <c r="AN1221" s="17"/>
      <c r="AO1221" s="17"/>
      <c r="AP1221" s="17"/>
      <c r="AQ1221" s="17"/>
    </row>
    <row r="1222" spans="24:43" x14ac:dyDescent="0.45">
      <c r="X1222" s="2"/>
      <c r="Y1222" s="2"/>
      <c r="AC1222" s="13"/>
      <c r="AD1222" s="13"/>
      <c r="AE1222" s="13"/>
      <c r="AF1222" s="17"/>
      <c r="AH1222" s="2"/>
      <c r="AL1222" s="17"/>
      <c r="AM1222" s="17"/>
      <c r="AN1222" s="17"/>
      <c r="AO1222" s="17"/>
      <c r="AP1222" s="17"/>
      <c r="AQ1222" s="17"/>
    </row>
    <row r="1223" spans="24:43" x14ac:dyDescent="0.45">
      <c r="X1223" s="2"/>
      <c r="Y1223" s="2"/>
      <c r="AC1223" s="13"/>
      <c r="AD1223" s="13"/>
      <c r="AE1223" s="13"/>
      <c r="AF1223" s="17"/>
      <c r="AH1223" s="2"/>
      <c r="AL1223" s="17"/>
      <c r="AM1223" s="17"/>
      <c r="AN1223" s="17"/>
      <c r="AO1223" s="17"/>
      <c r="AP1223" s="17"/>
      <c r="AQ1223" s="17"/>
    </row>
    <row r="1224" spans="24:43" x14ac:dyDescent="0.45">
      <c r="X1224" s="2"/>
      <c r="Y1224" s="2"/>
      <c r="AC1224" s="13"/>
      <c r="AD1224" s="13"/>
      <c r="AE1224" s="13"/>
      <c r="AF1224" s="17"/>
      <c r="AH1224" s="2"/>
      <c r="AL1224" s="17"/>
      <c r="AM1224" s="17"/>
      <c r="AN1224" s="17"/>
      <c r="AO1224" s="17"/>
      <c r="AP1224" s="17"/>
      <c r="AQ1224" s="17"/>
    </row>
    <row r="1225" spans="24:43" x14ac:dyDescent="0.45">
      <c r="X1225" s="2"/>
      <c r="Y1225" s="2"/>
      <c r="AC1225" s="13"/>
      <c r="AD1225" s="13"/>
      <c r="AE1225" s="13"/>
      <c r="AF1225" s="17"/>
      <c r="AH1225" s="2"/>
      <c r="AL1225" s="17"/>
      <c r="AM1225" s="17"/>
      <c r="AN1225" s="17"/>
      <c r="AO1225" s="17"/>
      <c r="AP1225" s="17"/>
      <c r="AQ1225" s="17"/>
    </row>
    <row r="1226" spans="24:43" x14ac:dyDescent="0.45">
      <c r="X1226" s="2"/>
      <c r="Y1226" s="2"/>
      <c r="AC1226" s="13"/>
      <c r="AD1226" s="13"/>
      <c r="AE1226" s="13"/>
      <c r="AF1226" s="17"/>
      <c r="AH1226" s="2"/>
      <c r="AL1226" s="17"/>
      <c r="AM1226" s="17"/>
      <c r="AN1226" s="17"/>
      <c r="AO1226" s="17"/>
      <c r="AP1226" s="17"/>
      <c r="AQ1226" s="17"/>
    </row>
    <row r="1227" spans="24:43" x14ac:dyDescent="0.45">
      <c r="X1227" s="2"/>
      <c r="Y1227" s="2"/>
      <c r="AC1227" s="13"/>
      <c r="AD1227" s="13"/>
      <c r="AE1227" s="13"/>
      <c r="AF1227" s="17"/>
      <c r="AH1227" s="2"/>
      <c r="AL1227" s="17"/>
      <c r="AM1227" s="17"/>
      <c r="AN1227" s="17"/>
      <c r="AO1227" s="17"/>
      <c r="AP1227" s="17"/>
      <c r="AQ1227" s="17"/>
    </row>
    <row r="1228" spans="24:43" x14ac:dyDescent="0.45">
      <c r="X1228" s="2"/>
      <c r="Y1228" s="2"/>
      <c r="AC1228" s="13"/>
      <c r="AD1228" s="13"/>
      <c r="AE1228" s="13"/>
      <c r="AF1228" s="17"/>
      <c r="AH1228" s="2"/>
      <c r="AL1228" s="17"/>
      <c r="AM1228" s="17"/>
      <c r="AN1228" s="17"/>
      <c r="AO1228" s="17"/>
      <c r="AP1228" s="17"/>
      <c r="AQ1228" s="17"/>
    </row>
    <row r="1229" spans="24:43" x14ac:dyDescent="0.45">
      <c r="X1229" s="2"/>
      <c r="Y1229" s="2"/>
      <c r="AC1229" s="13"/>
      <c r="AD1229" s="13"/>
      <c r="AE1229" s="13"/>
      <c r="AF1229" s="17"/>
      <c r="AH1229" s="2"/>
      <c r="AL1229" s="17"/>
      <c r="AM1229" s="17"/>
      <c r="AN1229" s="17"/>
      <c r="AO1229" s="17"/>
      <c r="AP1229" s="17"/>
      <c r="AQ1229" s="17"/>
    </row>
    <row r="1230" spans="24:43" x14ac:dyDescent="0.45">
      <c r="X1230" s="2"/>
      <c r="Y1230" s="2"/>
      <c r="AC1230" s="13"/>
      <c r="AD1230" s="13"/>
      <c r="AE1230" s="13"/>
      <c r="AF1230" s="17"/>
      <c r="AH1230" s="2"/>
      <c r="AL1230" s="17"/>
      <c r="AM1230" s="17"/>
      <c r="AN1230" s="17"/>
      <c r="AO1230" s="17"/>
      <c r="AP1230" s="17"/>
      <c r="AQ1230" s="17"/>
    </row>
    <row r="1231" spans="24:43" x14ac:dyDescent="0.45">
      <c r="X1231" s="2"/>
      <c r="Y1231" s="2"/>
      <c r="AC1231" s="13"/>
      <c r="AD1231" s="13"/>
      <c r="AE1231" s="13"/>
      <c r="AF1231" s="17"/>
      <c r="AH1231" s="2"/>
      <c r="AL1231" s="17"/>
      <c r="AM1231" s="17"/>
      <c r="AN1231" s="17"/>
      <c r="AO1231" s="17"/>
      <c r="AP1231" s="17"/>
      <c r="AQ1231" s="17"/>
    </row>
    <row r="1232" spans="24:43" x14ac:dyDescent="0.45">
      <c r="X1232" s="2"/>
      <c r="Y1232" s="2"/>
      <c r="AC1232" s="13"/>
      <c r="AD1232" s="13"/>
      <c r="AE1232" s="13"/>
      <c r="AF1232" s="17"/>
      <c r="AH1232" s="2"/>
      <c r="AL1232" s="17"/>
      <c r="AM1232" s="17"/>
      <c r="AN1232" s="17"/>
      <c r="AO1232" s="17"/>
      <c r="AP1232" s="17"/>
      <c r="AQ1232" s="17"/>
    </row>
    <row r="1233" spans="24:43" x14ac:dyDescent="0.45">
      <c r="X1233" s="2"/>
      <c r="Y1233" s="2"/>
      <c r="AC1233" s="13"/>
      <c r="AD1233" s="13"/>
      <c r="AE1233" s="13"/>
      <c r="AF1233" s="17"/>
      <c r="AH1233" s="2"/>
      <c r="AL1233" s="17"/>
      <c r="AM1233" s="17"/>
      <c r="AN1233" s="17"/>
      <c r="AO1233" s="17"/>
      <c r="AP1233" s="17"/>
      <c r="AQ1233" s="17"/>
    </row>
    <row r="1234" spans="24:43" x14ac:dyDescent="0.45">
      <c r="X1234" s="2"/>
      <c r="Y1234" s="2"/>
      <c r="AC1234" s="13"/>
      <c r="AD1234" s="13"/>
      <c r="AE1234" s="13"/>
      <c r="AF1234" s="17"/>
      <c r="AH1234" s="2"/>
      <c r="AL1234" s="17"/>
      <c r="AM1234" s="17"/>
      <c r="AN1234" s="17"/>
      <c r="AO1234" s="17"/>
      <c r="AP1234" s="17"/>
      <c r="AQ1234" s="17"/>
    </row>
    <row r="1235" spans="24:43" x14ac:dyDescent="0.45">
      <c r="X1235" s="2"/>
      <c r="Y1235" s="2"/>
      <c r="AC1235" s="13"/>
      <c r="AD1235" s="13"/>
      <c r="AE1235" s="13"/>
      <c r="AF1235" s="17"/>
      <c r="AH1235" s="2"/>
      <c r="AL1235" s="17"/>
      <c r="AM1235" s="17"/>
      <c r="AN1235" s="17"/>
      <c r="AO1235" s="17"/>
      <c r="AP1235" s="17"/>
      <c r="AQ1235" s="17"/>
    </row>
    <row r="1236" spans="24:43" x14ac:dyDescent="0.45">
      <c r="X1236" s="2"/>
      <c r="Y1236" s="2"/>
      <c r="AC1236" s="13"/>
      <c r="AD1236" s="13"/>
      <c r="AE1236" s="13"/>
      <c r="AF1236" s="17"/>
      <c r="AH1236" s="2"/>
      <c r="AL1236" s="17"/>
      <c r="AM1236" s="17"/>
      <c r="AN1236" s="17"/>
      <c r="AO1236" s="17"/>
      <c r="AP1236" s="17"/>
      <c r="AQ1236" s="17"/>
    </row>
    <row r="1237" spans="24:43" x14ac:dyDescent="0.45">
      <c r="X1237" s="2"/>
      <c r="Y1237" s="2"/>
      <c r="AC1237" s="13"/>
      <c r="AD1237" s="13"/>
      <c r="AE1237" s="13"/>
      <c r="AF1237" s="17"/>
      <c r="AH1237" s="2"/>
      <c r="AL1237" s="17"/>
      <c r="AM1237" s="17"/>
      <c r="AN1237" s="17"/>
      <c r="AO1237" s="17"/>
      <c r="AP1237" s="17"/>
      <c r="AQ1237" s="17"/>
    </row>
    <row r="1238" spans="24:43" x14ac:dyDescent="0.45">
      <c r="X1238" s="2"/>
      <c r="Y1238" s="2"/>
      <c r="AC1238" s="13"/>
      <c r="AD1238" s="13"/>
      <c r="AE1238" s="13"/>
      <c r="AF1238" s="17"/>
      <c r="AH1238" s="2"/>
      <c r="AL1238" s="17"/>
      <c r="AM1238" s="17"/>
      <c r="AN1238" s="17"/>
      <c r="AO1238" s="17"/>
      <c r="AP1238" s="17"/>
      <c r="AQ1238" s="17"/>
    </row>
    <row r="1239" spans="24:43" x14ac:dyDescent="0.45">
      <c r="X1239" s="2"/>
      <c r="Y1239" s="2"/>
      <c r="AC1239" s="13"/>
      <c r="AD1239" s="13"/>
      <c r="AE1239" s="13"/>
      <c r="AF1239" s="17"/>
      <c r="AH1239" s="2"/>
      <c r="AL1239" s="17"/>
      <c r="AM1239" s="17"/>
      <c r="AN1239" s="17"/>
      <c r="AO1239" s="17"/>
      <c r="AP1239" s="17"/>
      <c r="AQ1239" s="17"/>
    </row>
    <row r="1240" spans="24:43" x14ac:dyDescent="0.45">
      <c r="X1240" s="2"/>
      <c r="Y1240" s="2"/>
      <c r="AC1240" s="13"/>
      <c r="AD1240" s="13"/>
      <c r="AE1240" s="13"/>
      <c r="AF1240" s="17"/>
      <c r="AH1240" s="2"/>
      <c r="AL1240" s="17"/>
      <c r="AM1240" s="17"/>
      <c r="AN1240" s="17"/>
      <c r="AO1240" s="17"/>
      <c r="AP1240" s="17"/>
      <c r="AQ1240" s="17"/>
    </row>
    <row r="1241" spans="24:43" x14ac:dyDescent="0.45">
      <c r="X1241" s="2"/>
      <c r="Y1241" s="2"/>
      <c r="AC1241" s="13"/>
      <c r="AD1241" s="13"/>
      <c r="AE1241" s="13"/>
      <c r="AF1241" s="17"/>
      <c r="AH1241" s="2"/>
      <c r="AL1241" s="17"/>
      <c r="AM1241" s="17"/>
      <c r="AN1241" s="17"/>
      <c r="AO1241" s="17"/>
      <c r="AP1241" s="17"/>
      <c r="AQ1241" s="17"/>
    </row>
    <row r="1242" spans="24:43" x14ac:dyDescent="0.45">
      <c r="X1242" s="2"/>
      <c r="Y1242" s="2"/>
      <c r="AC1242" s="13"/>
      <c r="AD1242" s="13"/>
      <c r="AE1242" s="13"/>
      <c r="AF1242" s="17"/>
      <c r="AH1242" s="2"/>
      <c r="AL1242" s="17"/>
      <c r="AM1242" s="17"/>
      <c r="AN1242" s="17"/>
      <c r="AO1242" s="17"/>
      <c r="AP1242" s="17"/>
      <c r="AQ1242" s="17"/>
    </row>
    <row r="1243" spans="24:43" x14ac:dyDescent="0.45">
      <c r="X1243" s="2"/>
      <c r="Y1243" s="2"/>
      <c r="AC1243" s="13"/>
      <c r="AD1243" s="13"/>
      <c r="AE1243" s="13"/>
      <c r="AF1243" s="17"/>
      <c r="AH1243" s="2"/>
      <c r="AL1243" s="17"/>
      <c r="AM1243" s="17"/>
      <c r="AN1243" s="17"/>
      <c r="AO1243" s="17"/>
      <c r="AP1243" s="17"/>
      <c r="AQ1243" s="17"/>
    </row>
    <row r="1244" spans="24:43" x14ac:dyDescent="0.45">
      <c r="X1244" s="2"/>
      <c r="Y1244" s="2"/>
      <c r="AC1244" s="13"/>
      <c r="AD1244" s="13"/>
      <c r="AE1244" s="13"/>
      <c r="AF1244" s="17"/>
      <c r="AH1244" s="2"/>
      <c r="AL1244" s="17"/>
      <c r="AM1244" s="17"/>
      <c r="AN1244" s="17"/>
      <c r="AO1244" s="17"/>
      <c r="AP1244" s="17"/>
      <c r="AQ1244" s="17"/>
    </row>
    <row r="1245" spans="24:43" x14ac:dyDescent="0.45">
      <c r="X1245" s="2"/>
      <c r="Y1245" s="2"/>
      <c r="AC1245" s="13"/>
      <c r="AD1245" s="13"/>
      <c r="AE1245" s="13"/>
      <c r="AF1245" s="17"/>
      <c r="AH1245" s="2"/>
      <c r="AL1245" s="17"/>
      <c r="AM1245" s="17"/>
      <c r="AN1245" s="17"/>
      <c r="AO1245" s="17"/>
      <c r="AP1245" s="17"/>
      <c r="AQ1245" s="17"/>
    </row>
    <row r="1246" spans="24:43" x14ac:dyDescent="0.45">
      <c r="X1246" s="2"/>
      <c r="Y1246" s="2"/>
      <c r="AC1246" s="13"/>
      <c r="AD1246" s="13"/>
      <c r="AE1246" s="13"/>
      <c r="AF1246" s="17"/>
      <c r="AH1246" s="2"/>
      <c r="AL1246" s="17"/>
      <c r="AM1246" s="17"/>
      <c r="AN1246" s="17"/>
      <c r="AO1246" s="17"/>
      <c r="AP1246" s="17"/>
      <c r="AQ1246" s="17"/>
    </row>
    <row r="1247" spans="24:43" x14ac:dyDescent="0.45">
      <c r="X1247" s="2"/>
      <c r="Y1247" s="2"/>
      <c r="AC1247" s="13"/>
      <c r="AD1247" s="13"/>
      <c r="AE1247" s="13"/>
      <c r="AF1247" s="17"/>
      <c r="AH1247" s="2"/>
      <c r="AL1247" s="17"/>
      <c r="AM1247" s="17"/>
      <c r="AN1247" s="17"/>
      <c r="AO1247" s="17"/>
      <c r="AP1247" s="17"/>
      <c r="AQ1247" s="17"/>
    </row>
    <row r="1248" spans="24:43" x14ac:dyDescent="0.45">
      <c r="X1248" s="2"/>
      <c r="Y1248" s="2"/>
      <c r="AC1248" s="13"/>
      <c r="AD1248" s="13"/>
      <c r="AE1248" s="13"/>
      <c r="AF1248" s="17"/>
      <c r="AH1248" s="2"/>
      <c r="AL1248" s="17"/>
      <c r="AM1248" s="17"/>
      <c r="AN1248" s="17"/>
      <c r="AO1248" s="17"/>
      <c r="AP1248" s="17"/>
      <c r="AQ1248" s="17"/>
    </row>
    <row r="1249" spans="24:43" x14ac:dyDescent="0.45">
      <c r="X1249" s="2"/>
      <c r="Y1249" s="2"/>
      <c r="AC1249" s="13"/>
      <c r="AD1249" s="13"/>
      <c r="AE1249" s="13"/>
      <c r="AF1249" s="17"/>
      <c r="AH1249" s="2"/>
      <c r="AL1249" s="17"/>
      <c r="AM1249" s="17"/>
      <c r="AN1249" s="17"/>
      <c r="AO1249" s="17"/>
      <c r="AP1249" s="17"/>
      <c r="AQ1249" s="17"/>
    </row>
    <row r="1250" spans="24:43" x14ac:dyDescent="0.45">
      <c r="X1250" s="2"/>
      <c r="Y1250" s="2"/>
      <c r="AC1250" s="13"/>
      <c r="AD1250" s="13"/>
      <c r="AE1250" s="13"/>
      <c r="AF1250" s="17"/>
      <c r="AH1250" s="2"/>
      <c r="AL1250" s="17"/>
      <c r="AM1250" s="17"/>
      <c r="AN1250" s="17"/>
      <c r="AO1250" s="17"/>
      <c r="AP1250" s="17"/>
      <c r="AQ1250" s="17"/>
    </row>
    <row r="1251" spans="24:43" x14ac:dyDescent="0.45">
      <c r="X1251" s="2"/>
      <c r="Y1251" s="2"/>
      <c r="AC1251" s="13"/>
      <c r="AD1251" s="13"/>
      <c r="AE1251" s="13"/>
      <c r="AF1251" s="17"/>
      <c r="AH1251" s="2"/>
      <c r="AL1251" s="17"/>
      <c r="AM1251" s="17"/>
      <c r="AN1251" s="17"/>
      <c r="AO1251" s="17"/>
      <c r="AP1251" s="17"/>
      <c r="AQ1251" s="17"/>
    </row>
    <row r="1252" spans="24:43" x14ac:dyDescent="0.45">
      <c r="X1252" s="2"/>
      <c r="Y1252" s="2"/>
      <c r="AC1252" s="13"/>
      <c r="AD1252" s="13"/>
      <c r="AE1252" s="13"/>
      <c r="AF1252" s="17"/>
      <c r="AH1252" s="2"/>
      <c r="AL1252" s="17"/>
      <c r="AM1252" s="17"/>
      <c r="AN1252" s="17"/>
      <c r="AO1252" s="17"/>
      <c r="AP1252" s="17"/>
      <c r="AQ1252" s="17"/>
    </row>
    <row r="1253" spans="24:43" x14ac:dyDescent="0.45">
      <c r="X1253" s="2"/>
      <c r="Y1253" s="2"/>
      <c r="AC1253" s="13"/>
      <c r="AD1253" s="13"/>
      <c r="AE1253" s="13"/>
      <c r="AF1253" s="17"/>
      <c r="AH1253" s="2"/>
      <c r="AL1253" s="17"/>
      <c r="AM1253" s="17"/>
      <c r="AN1253" s="17"/>
      <c r="AO1253" s="17"/>
      <c r="AP1253" s="17"/>
      <c r="AQ1253" s="17"/>
    </row>
    <row r="1254" spans="24:43" x14ac:dyDescent="0.45">
      <c r="X1254" s="2"/>
      <c r="Y1254" s="2"/>
      <c r="AC1254" s="13"/>
      <c r="AD1254" s="13"/>
      <c r="AE1254" s="13"/>
      <c r="AF1254" s="17"/>
      <c r="AH1254" s="2"/>
      <c r="AL1254" s="17"/>
      <c r="AM1254" s="17"/>
      <c r="AN1254" s="17"/>
      <c r="AO1254" s="17"/>
      <c r="AP1254" s="17"/>
      <c r="AQ1254" s="17"/>
    </row>
    <row r="1255" spans="24:43" x14ac:dyDescent="0.45">
      <c r="X1255" s="2"/>
      <c r="Y1255" s="2"/>
      <c r="AC1255" s="13"/>
      <c r="AD1255" s="13"/>
      <c r="AE1255" s="13"/>
      <c r="AF1255" s="17"/>
      <c r="AH1255" s="2"/>
      <c r="AL1255" s="17"/>
      <c r="AM1255" s="17"/>
      <c r="AN1255" s="17"/>
      <c r="AO1255" s="17"/>
      <c r="AP1255" s="17"/>
      <c r="AQ1255" s="17"/>
    </row>
    <row r="1256" spans="24:43" x14ac:dyDescent="0.45">
      <c r="X1256" s="2"/>
      <c r="Y1256" s="2"/>
      <c r="AC1256" s="13"/>
      <c r="AD1256" s="13"/>
      <c r="AE1256" s="13"/>
      <c r="AF1256" s="17"/>
      <c r="AH1256" s="2"/>
      <c r="AL1256" s="17"/>
      <c r="AM1256" s="17"/>
      <c r="AN1256" s="17"/>
      <c r="AO1256" s="17"/>
      <c r="AP1256" s="17"/>
      <c r="AQ1256" s="17"/>
    </row>
    <row r="1257" spans="24:43" x14ac:dyDescent="0.45">
      <c r="X1257" s="2"/>
      <c r="Y1257" s="2"/>
      <c r="AC1257" s="13"/>
      <c r="AD1257" s="13"/>
      <c r="AE1257" s="13"/>
      <c r="AF1257" s="17"/>
      <c r="AH1257" s="2"/>
      <c r="AL1257" s="17"/>
      <c r="AM1257" s="17"/>
      <c r="AN1257" s="17"/>
      <c r="AO1257" s="17"/>
      <c r="AP1257" s="17"/>
      <c r="AQ1257" s="17"/>
    </row>
    <row r="1258" spans="24:43" x14ac:dyDescent="0.45">
      <c r="X1258" s="2"/>
      <c r="Y1258" s="2"/>
      <c r="AC1258" s="13"/>
      <c r="AD1258" s="13"/>
      <c r="AE1258" s="13"/>
      <c r="AF1258" s="17"/>
      <c r="AH1258" s="2"/>
      <c r="AL1258" s="17"/>
      <c r="AM1258" s="17"/>
      <c r="AN1258" s="17"/>
      <c r="AO1258" s="17"/>
      <c r="AP1258" s="17"/>
      <c r="AQ1258" s="17"/>
    </row>
    <row r="1259" spans="24:43" x14ac:dyDescent="0.45">
      <c r="X1259" s="2"/>
      <c r="Y1259" s="2"/>
      <c r="AC1259" s="13"/>
      <c r="AD1259" s="13"/>
      <c r="AE1259" s="13"/>
      <c r="AF1259" s="17"/>
      <c r="AH1259" s="2"/>
      <c r="AL1259" s="17"/>
      <c r="AM1259" s="17"/>
      <c r="AN1259" s="17"/>
      <c r="AO1259" s="17"/>
      <c r="AP1259" s="17"/>
      <c r="AQ1259" s="17"/>
    </row>
    <row r="1260" spans="24:43" x14ac:dyDescent="0.45">
      <c r="X1260" s="2"/>
      <c r="Y1260" s="2"/>
      <c r="AC1260" s="13"/>
      <c r="AD1260" s="13"/>
      <c r="AE1260" s="13"/>
      <c r="AF1260" s="17"/>
      <c r="AH1260" s="2"/>
      <c r="AL1260" s="17"/>
      <c r="AM1260" s="17"/>
      <c r="AN1260" s="17"/>
      <c r="AO1260" s="17"/>
      <c r="AP1260" s="17"/>
      <c r="AQ1260" s="17"/>
    </row>
    <row r="1261" spans="24:43" x14ac:dyDescent="0.45">
      <c r="X1261" s="2"/>
      <c r="Y1261" s="2"/>
      <c r="AC1261" s="13"/>
      <c r="AD1261" s="13"/>
      <c r="AE1261" s="13"/>
      <c r="AF1261" s="17"/>
      <c r="AH1261" s="2"/>
      <c r="AL1261" s="17"/>
      <c r="AM1261" s="17"/>
      <c r="AN1261" s="17"/>
      <c r="AO1261" s="17"/>
      <c r="AP1261" s="17"/>
      <c r="AQ1261" s="17"/>
    </row>
    <row r="1262" spans="24:43" x14ac:dyDescent="0.45">
      <c r="X1262" s="2"/>
      <c r="Y1262" s="2"/>
      <c r="AC1262" s="13"/>
      <c r="AD1262" s="13"/>
      <c r="AE1262" s="13"/>
      <c r="AF1262" s="17"/>
      <c r="AH1262" s="2"/>
      <c r="AL1262" s="17"/>
      <c r="AM1262" s="17"/>
      <c r="AN1262" s="17"/>
      <c r="AO1262" s="17"/>
      <c r="AP1262" s="17"/>
      <c r="AQ1262" s="17"/>
    </row>
    <row r="1263" spans="24:43" x14ac:dyDescent="0.45">
      <c r="X1263" s="2"/>
      <c r="Y1263" s="2"/>
      <c r="AC1263" s="13"/>
      <c r="AD1263" s="13"/>
      <c r="AE1263" s="13"/>
      <c r="AF1263" s="17"/>
      <c r="AH1263" s="2"/>
      <c r="AL1263" s="17"/>
      <c r="AM1263" s="17"/>
      <c r="AN1263" s="17"/>
      <c r="AO1263" s="17"/>
      <c r="AP1263" s="17"/>
      <c r="AQ1263" s="17"/>
    </row>
    <row r="1264" spans="24:43" x14ac:dyDescent="0.45">
      <c r="X1264" s="2"/>
      <c r="Y1264" s="2"/>
      <c r="AC1264" s="13"/>
      <c r="AD1264" s="13"/>
      <c r="AE1264" s="13"/>
      <c r="AF1264" s="17"/>
      <c r="AH1264" s="2"/>
      <c r="AL1264" s="17"/>
      <c r="AM1264" s="17"/>
      <c r="AN1264" s="17"/>
      <c r="AO1264" s="17"/>
      <c r="AP1264" s="17"/>
      <c r="AQ1264" s="17"/>
    </row>
    <row r="1265" spans="24:43" x14ac:dyDescent="0.45">
      <c r="X1265" s="2"/>
      <c r="Y1265" s="2"/>
      <c r="AC1265" s="13"/>
      <c r="AD1265" s="13"/>
      <c r="AE1265" s="13"/>
      <c r="AF1265" s="17"/>
      <c r="AH1265" s="2"/>
      <c r="AL1265" s="17"/>
      <c r="AM1265" s="17"/>
      <c r="AN1265" s="17"/>
      <c r="AO1265" s="17"/>
      <c r="AP1265" s="17"/>
      <c r="AQ1265" s="17"/>
    </row>
    <row r="1266" spans="24:43" x14ac:dyDescent="0.45">
      <c r="X1266" s="2"/>
      <c r="Y1266" s="2"/>
      <c r="AC1266" s="13"/>
      <c r="AD1266" s="13"/>
      <c r="AE1266" s="13"/>
      <c r="AF1266" s="17"/>
      <c r="AH1266" s="2"/>
      <c r="AL1266" s="17"/>
      <c r="AM1266" s="17"/>
      <c r="AN1266" s="17"/>
      <c r="AO1266" s="17"/>
      <c r="AP1266" s="17"/>
      <c r="AQ1266" s="17"/>
    </row>
    <row r="1267" spans="24:43" x14ac:dyDescent="0.45">
      <c r="X1267" s="2"/>
      <c r="Y1267" s="2"/>
      <c r="AC1267" s="13"/>
      <c r="AD1267" s="13"/>
      <c r="AE1267" s="13"/>
      <c r="AF1267" s="17"/>
      <c r="AH1267" s="2"/>
      <c r="AL1267" s="17"/>
      <c r="AM1267" s="17"/>
      <c r="AN1267" s="17"/>
      <c r="AO1267" s="17"/>
      <c r="AP1267" s="17"/>
      <c r="AQ1267" s="17"/>
    </row>
    <row r="1268" spans="24:43" x14ac:dyDescent="0.45">
      <c r="X1268" s="2"/>
      <c r="Y1268" s="2"/>
      <c r="AC1268" s="13"/>
      <c r="AD1268" s="13"/>
      <c r="AE1268" s="13"/>
      <c r="AF1268" s="17"/>
      <c r="AH1268" s="2"/>
      <c r="AL1268" s="17"/>
      <c r="AM1268" s="17"/>
      <c r="AN1268" s="17"/>
      <c r="AO1268" s="17"/>
      <c r="AP1268" s="17"/>
      <c r="AQ1268" s="17"/>
    </row>
    <row r="1269" spans="24:43" x14ac:dyDescent="0.45">
      <c r="X1269" s="2"/>
      <c r="Y1269" s="2"/>
      <c r="AC1269" s="13"/>
      <c r="AD1269" s="13"/>
      <c r="AE1269" s="13"/>
      <c r="AF1269" s="17"/>
      <c r="AH1269" s="2"/>
      <c r="AL1269" s="17"/>
      <c r="AM1269" s="17"/>
      <c r="AN1269" s="17"/>
      <c r="AO1269" s="17"/>
      <c r="AP1269" s="17"/>
      <c r="AQ1269" s="17"/>
    </row>
    <row r="1270" spans="24:43" x14ac:dyDescent="0.45">
      <c r="X1270" s="2"/>
      <c r="Y1270" s="2"/>
      <c r="AC1270" s="13"/>
      <c r="AD1270" s="13"/>
      <c r="AE1270" s="13"/>
      <c r="AF1270" s="17"/>
      <c r="AH1270" s="2"/>
      <c r="AL1270" s="17"/>
      <c r="AM1270" s="17"/>
      <c r="AN1270" s="17"/>
      <c r="AO1270" s="17"/>
      <c r="AP1270" s="17"/>
      <c r="AQ1270" s="17"/>
    </row>
    <row r="1271" spans="24:43" x14ac:dyDescent="0.45">
      <c r="X1271" s="2"/>
      <c r="Y1271" s="2"/>
      <c r="AC1271" s="13"/>
      <c r="AD1271" s="13"/>
      <c r="AE1271" s="13"/>
      <c r="AF1271" s="17"/>
      <c r="AH1271" s="2"/>
      <c r="AL1271" s="17"/>
      <c r="AM1271" s="17"/>
      <c r="AN1271" s="17"/>
      <c r="AO1271" s="17"/>
      <c r="AP1271" s="17"/>
      <c r="AQ1271" s="17"/>
    </row>
    <row r="1272" spans="24:43" x14ac:dyDescent="0.45">
      <c r="X1272" s="2"/>
      <c r="Y1272" s="2"/>
      <c r="AC1272" s="13"/>
      <c r="AD1272" s="13"/>
      <c r="AE1272" s="13"/>
      <c r="AF1272" s="17"/>
      <c r="AH1272" s="2"/>
      <c r="AL1272" s="17"/>
      <c r="AM1272" s="17"/>
      <c r="AN1272" s="17"/>
      <c r="AO1272" s="17"/>
      <c r="AP1272" s="17"/>
      <c r="AQ1272" s="17"/>
    </row>
    <row r="1273" spans="24:43" x14ac:dyDescent="0.45">
      <c r="X1273" s="2"/>
      <c r="Y1273" s="2"/>
      <c r="AC1273" s="13"/>
      <c r="AD1273" s="13"/>
      <c r="AE1273" s="13"/>
      <c r="AF1273" s="17"/>
      <c r="AH1273" s="2"/>
      <c r="AL1273" s="17"/>
      <c r="AM1273" s="17"/>
      <c r="AN1273" s="17"/>
      <c r="AO1273" s="17"/>
      <c r="AP1273" s="17"/>
      <c r="AQ1273" s="17"/>
    </row>
    <row r="1274" spans="24:43" x14ac:dyDescent="0.45">
      <c r="X1274" s="2"/>
      <c r="Y1274" s="2"/>
      <c r="AC1274" s="13"/>
      <c r="AD1274" s="13"/>
      <c r="AE1274" s="13"/>
      <c r="AF1274" s="17"/>
      <c r="AH1274" s="2"/>
      <c r="AL1274" s="17"/>
      <c r="AM1274" s="17"/>
      <c r="AN1274" s="17"/>
      <c r="AO1274" s="17"/>
      <c r="AP1274" s="17"/>
      <c r="AQ1274" s="17"/>
    </row>
    <row r="1275" spans="24:43" x14ac:dyDescent="0.45">
      <c r="X1275" s="2"/>
      <c r="Y1275" s="2"/>
      <c r="AC1275" s="13"/>
      <c r="AD1275" s="13"/>
      <c r="AE1275" s="13"/>
      <c r="AF1275" s="17"/>
      <c r="AH1275" s="2"/>
      <c r="AL1275" s="17"/>
      <c r="AM1275" s="17"/>
      <c r="AN1275" s="17"/>
      <c r="AO1275" s="17"/>
      <c r="AP1275" s="17"/>
      <c r="AQ1275" s="17"/>
    </row>
    <row r="1276" spans="24:43" x14ac:dyDescent="0.45">
      <c r="X1276" s="2"/>
      <c r="Y1276" s="2"/>
      <c r="AC1276" s="13"/>
      <c r="AD1276" s="13"/>
      <c r="AE1276" s="13"/>
      <c r="AF1276" s="17"/>
      <c r="AH1276" s="2"/>
      <c r="AL1276" s="17"/>
      <c r="AM1276" s="17"/>
      <c r="AN1276" s="17"/>
      <c r="AO1276" s="17"/>
      <c r="AP1276" s="17"/>
      <c r="AQ1276" s="17"/>
    </row>
    <row r="1277" spans="24:43" x14ac:dyDescent="0.45">
      <c r="X1277" s="2"/>
      <c r="Y1277" s="2"/>
      <c r="AC1277" s="13"/>
      <c r="AD1277" s="13"/>
      <c r="AE1277" s="13"/>
      <c r="AF1277" s="17"/>
      <c r="AH1277" s="2"/>
      <c r="AL1277" s="17"/>
      <c r="AM1277" s="17"/>
      <c r="AN1277" s="17"/>
      <c r="AO1277" s="17"/>
      <c r="AP1277" s="17"/>
      <c r="AQ1277" s="17"/>
    </row>
    <row r="1278" spans="24:43" x14ac:dyDescent="0.45">
      <c r="X1278" s="2"/>
      <c r="Y1278" s="2"/>
      <c r="AC1278" s="13"/>
      <c r="AD1278" s="13"/>
      <c r="AE1278" s="13"/>
      <c r="AF1278" s="17"/>
      <c r="AH1278" s="2"/>
      <c r="AL1278" s="17"/>
      <c r="AM1278" s="17"/>
      <c r="AN1278" s="17"/>
      <c r="AO1278" s="17"/>
      <c r="AP1278" s="17"/>
      <c r="AQ1278" s="17"/>
    </row>
    <row r="1279" spans="24:43" x14ac:dyDescent="0.45">
      <c r="X1279" s="2"/>
      <c r="Y1279" s="2"/>
      <c r="AC1279" s="13"/>
      <c r="AD1279" s="13"/>
      <c r="AE1279" s="13"/>
      <c r="AF1279" s="17"/>
      <c r="AH1279" s="2"/>
      <c r="AL1279" s="17"/>
      <c r="AM1279" s="17"/>
      <c r="AN1279" s="17"/>
      <c r="AO1279" s="17"/>
      <c r="AP1279" s="17"/>
      <c r="AQ1279" s="17"/>
    </row>
    <row r="1280" spans="24:43" x14ac:dyDescent="0.45">
      <c r="X1280" s="2"/>
      <c r="Y1280" s="2"/>
      <c r="AC1280" s="13"/>
      <c r="AD1280" s="13"/>
      <c r="AE1280" s="13"/>
      <c r="AF1280" s="17"/>
      <c r="AH1280" s="2"/>
      <c r="AL1280" s="17"/>
      <c r="AM1280" s="17"/>
      <c r="AN1280" s="17"/>
      <c r="AO1280" s="17"/>
      <c r="AP1280" s="17"/>
      <c r="AQ1280" s="17"/>
    </row>
    <row r="1281" spans="24:43" x14ac:dyDescent="0.45">
      <c r="X1281" s="2"/>
      <c r="Y1281" s="2"/>
      <c r="AC1281" s="13"/>
      <c r="AD1281" s="13"/>
      <c r="AE1281" s="13"/>
      <c r="AF1281" s="17"/>
      <c r="AH1281" s="2"/>
      <c r="AL1281" s="17"/>
      <c r="AM1281" s="17"/>
      <c r="AN1281" s="17"/>
      <c r="AO1281" s="17"/>
      <c r="AP1281" s="17"/>
      <c r="AQ1281" s="17"/>
    </row>
    <row r="1282" spans="24:43" x14ac:dyDescent="0.45">
      <c r="X1282" s="2"/>
      <c r="Y1282" s="2"/>
      <c r="AC1282" s="13"/>
      <c r="AD1282" s="13"/>
      <c r="AE1282" s="13"/>
      <c r="AF1282" s="17"/>
      <c r="AH1282" s="2"/>
      <c r="AL1282" s="17"/>
      <c r="AM1282" s="17"/>
      <c r="AN1282" s="17"/>
      <c r="AO1282" s="17"/>
      <c r="AP1282" s="17"/>
      <c r="AQ1282" s="17"/>
    </row>
    <row r="1283" spans="24:43" x14ac:dyDescent="0.45">
      <c r="X1283" s="2"/>
      <c r="Y1283" s="2"/>
      <c r="AC1283" s="13"/>
      <c r="AD1283" s="13"/>
      <c r="AE1283" s="13"/>
      <c r="AF1283" s="17"/>
      <c r="AH1283" s="2"/>
      <c r="AL1283" s="17"/>
      <c r="AM1283" s="17"/>
      <c r="AN1283" s="17"/>
      <c r="AO1283" s="17"/>
      <c r="AP1283" s="17"/>
      <c r="AQ1283" s="17"/>
    </row>
    <row r="1284" spans="24:43" x14ac:dyDescent="0.45">
      <c r="X1284" s="2"/>
      <c r="Y1284" s="2"/>
      <c r="AC1284" s="13"/>
      <c r="AD1284" s="13"/>
      <c r="AE1284" s="13"/>
      <c r="AF1284" s="17"/>
      <c r="AH1284" s="2"/>
      <c r="AL1284" s="17"/>
      <c r="AM1284" s="17"/>
      <c r="AN1284" s="17"/>
      <c r="AO1284" s="17"/>
      <c r="AP1284" s="17"/>
      <c r="AQ1284" s="17"/>
    </row>
    <row r="1285" spans="24:43" x14ac:dyDescent="0.45">
      <c r="X1285" s="2"/>
      <c r="Y1285" s="2"/>
      <c r="AC1285" s="13"/>
      <c r="AD1285" s="13"/>
      <c r="AE1285" s="13"/>
      <c r="AF1285" s="17"/>
      <c r="AH1285" s="2"/>
      <c r="AL1285" s="17"/>
      <c r="AM1285" s="17"/>
      <c r="AN1285" s="17"/>
      <c r="AO1285" s="17"/>
      <c r="AP1285" s="17"/>
      <c r="AQ1285" s="17"/>
    </row>
    <row r="1286" spans="24:43" x14ac:dyDescent="0.45">
      <c r="X1286" s="2"/>
      <c r="Y1286" s="2"/>
      <c r="AC1286" s="13"/>
      <c r="AD1286" s="13"/>
      <c r="AE1286" s="13"/>
      <c r="AF1286" s="17"/>
      <c r="AH1286" s="2"/>
      <c r="AL1286" s="17"/>
      <c r="AM1286" s="17"/>
      <c r="AN1286" s="17"/>
      <c r="AO1286" s="17"/>
      <c r="AP1286" s="17"/>
      <c r="AQ1286" s="17"/>
    </row>
    <row r="1287" spans="24:43" x14ac:dyDescent="0.45">
      <c r="X1287" s="2"/>
      <c r="Y1287" s="2"/>
      <c r="AC1287" s="13"/>
      <c r="AD1287" s="13"/>
      <c r="AE1287" s="13"/>
      <c r="AF1287" s="17"/>
      <c r="AH1287" s="2"/>
      <c r="AL1287" s="17"/>
      <c r="AM1287" s="17"/>
      <c r="AN1287" s="17"/>
      <c r="AO1287" s="17"/>
      <c r="AP1287" s="17"/>
      <c r="AQ1287" s="17"/>
    </row>
    <row r="1288" spans="24:43" x14ac:dyDescent="0.45">
      <c r="X1288" s="2"/>
      <c r="Y1288" s="2"/>
      <c r="AC1288" s="13"/>
      <c r="AD1288" s="13"/>
      <c r="AE1288" s="13"/>
      <c r="AF1288" s="17"/>
      <c r="AH1288" s="2"/>
      <c r="AL1288" s="17"/>
      <c r="AM1288" s="17"/>
      <c r="AN1288" s="17"/>
      <c r="AO1288" s="17"/>
      <c r="AP1288" s="17"/>
      <c r="AQ1288" s="17"/>
    </row>
    <row r="1289" spans="24:43" x14ac:dyDescent="0.45">
      <c r="X1289" s="2"/>
      <c r="Y1289" s="2"/>
      <c r="AC1289" s="13"/>
      <c r="AD1289" s="13"/>
      <c r="AE1289" s="13"/>
      <c r="AF1289" s="17"/>
      <c r="AH1289" s="2"/>
      <c r="AL1289" s="17"/>
      <c r="AM1289" s="17"/>
      <c r="AN1289" s="17"/>
      <c r="AO1289" s="17"/>
      <c r="AP1289" s="17"/>
      <c r="AQ1289" s="17"/>
    </row>
    <row r="1290" spans="24:43" x14ac:dyDescent="0.45">
      <c r="X1290" s="2"/>
      <c r="Y1290" s="2"/>
      <c r="AC1290" s="13"/>
      <c r="AD1290" s="13"/>
      <c r="AE1290" s="13"/>
      <c r="AF1290" s="17"/>
      <c r="AH1290" s="2"/>
      <c r="AL1290" s="17"/>
      <c r="AM1290" s="17"/>
      <c r="AN1290" s="17"/>
      <c r="AO1290" s="17"/>
      <c r="AP1290" s="17"/>
      <c r="AQ1290" s="17"/>
    </row>
    <row r="1291" spans="24:43" x14ac:dyDescent="0.45">
      <c r="X1291" s="2"/>
      <c r="Y1291" s="2"/>
      <c r="AC1291" s="13"/>
      <c r="AD1291" s="13"/>
      <c r="AE1291" s="13"/>
      <c r="AF1291" s="17"/>
      <c r="AH1291" s="2"/>
      <c r="AL1291" s="17"/>
      <c r="AM1291" s="17"/>
      <c r="AN1291" s="17"/>
      <c r="AO1291" s="17"/>
      <c r="AP1291" s="17"/>
      <c r="AQ1291" s="17"/>
    </row>
    <row r="1292" spans="24:43" x14ac:dyDescent="0.45">
      <c r="X1292" s="2"/>
      <c r="Y1292" s="2"/>
      <c r="AC1292" s="13"/>
      <c r="AD1292" s="13"/>
      <c r="AE1292" s="13"/>
      <c r="AF1292" s="17"/>
      <c r="AH1292" s="2"/>
      <c r="AL1292" s="17"/>
      <c r="AM1292" s="17"/>
      <c r="AN1292" s="17"/>
      <c r="AO1292" s="17"/>
      <c r="AP1292" s="17"/>
      <c r="AQ1292" s="17"/>
    </row>
    <row r="1293" spans="24:43" x14ac:dyDescent="0.45">
      <c r="X1293" s="2"/>
      <c r="Y1293" s="2"/>
      <c r="AC1293" s="13"/>
      <c r="AD1293" s="13"/>
      <c r="AE1293" s="13"/>
      <c r="AF1293" s="17"/>
      <c r="AH1293" s="2"/>
      <c r="AL1293" s="17"/>
      <c r="AM1293" s="17"/>
      <c r="AN1293" s="17"/>
      <c r="AO1293" s="17"/>
      <c r="AP1293" s="17"/>
      <c r="AQ1293" s="17"/>
    </row>
    <row r="1294" spans="24:43" x14ac:dyDescent="0.45">
      <c r="X1294" s="2"/>
      <c r="Y1294" s="2"/>
      <c r="AC1294" s="13"/>
      <c r="AD1294" s="13"/>
      <c r="AE1294" s="13"/>
      <c r="AF1294" s="17"/>
      <c r="AH1294" s="2"/>
      <c r="AL1294" s="17"/>
      <c r="AM1294" s="17"/>
      <c r="AN1294" s="17"/>
      <c r="AO1294" s="17"/>
      <c r="AP1294" s="17"/>
      <c r="AQ1294" s="17"/>
    </row>
    <row r="1295" spans="24:43" x14ac:dyDescent="0.45">
      <c r="X1295" s="2"/>
      <c r="Y1295" s="2"/>
      <c r="AC1295" s="13"/>
      <c r="AD1295" s="13"/>
      <c r="AE1295" s="13"/>
      <c r="AF1295" s="17"/>
      <c r="AH1295" s="2"/>
      <c r="AL1295" s="17"/>
      <c r="AM1295" s="17"/>
      <c r="AN1295" s="17"/>
      <c r="AO1295" s="17"/>
      <c r="AP1295" s="17"/>
      <c r="AQ1295" s="17"/>
    </row>
    <row r="1296" spans="24:43" x14ac:dyDescent="0.45">
      <c r="X1296" s="2"/>
      <c r="Y1296" s="2"/>
      <c r="AC1296" s="13"/>
      <c r="AD1296" s="13"/>
      <c r="AE1296" s="13"/>
      <c r="AF1296" s="17"/>
      <c r="AH1296" s="2"/>
      <c r="AL1296" s="17"/>
      <c r="AM1296" s="17"/>
      <c r="AN1296" s="17"/>
      <c r="AO1296" s="17"/>
      <c r="AP1296" s="17"/>
      <c r="AQ1296" s="17"/>
    </row>
    <row r="1297" spans="24:43" x14ac:dyDescent="0.45">
      <c r="X1297" s="2"/>
      <c r="Y1297" s="2"/>
      <c r="AC1297" s="13"/>
      <c r="AD1297" s="13"/>
      <c r="AE1297" s="13"/>
      <c r="AF1297" s="17"/>
      <c r="AH1297" s="2"/>
      <c r="AL1297" s="17"/>
      <c r="AM1297" s="17"/>
      <c r="AN1297" s="17"/>
      <c r="AO1297" s="17"/>
      <c r="AP1297" s="17"/>
      <c r="AQ1297" s="17"/>
    </row>
    <row r="1298" spans="24:43" x14ac:dyDescent="0.45">
      <c r="X1298" s="2"/>
      <c r="Y1298" s="2"/>
      <c r="AC1298" s="13"/>
      <c r="AD1298" s="13"/>
      <c r="AE1298" s="13"/>
      <c r="AF1298" s="17"/>
      <c r="AH1298" s="2"/>
      <c r="AL1298" s="17"/>
      <c r="AM1298" s="17"/>
      <c r="AN1298" s="17"/>
      <c r="AO1298" s="17"/>
      <c r="AP1298" s="17"/>
      <c r="AQ1298" s="17"/>
    </row>
    <row r="1299" spans="24:43" x14ac:dyDescent="0.45">
      <c r="X1299" s="2"/>
      <c r="Y1299" s="2"/>
      <c r="AC1299" s="13"/>
      <c r="AD1299" s="13"/>
      <c r="AE1299" s="13"/>
      <c r="AF1299" s="17"/>
      <c r="AH1299" s="2"/>
      <c r="AL1299" s="17"/>
      <c r="AM1299" s="17"/>
      <c r="AN1299" s="17"/>
      <c r="AO1299" s="17"/>
      <c r="AP1299" s="17"/>
      <c r="AQ1299" s="17"/>
    </row>
    <row r="1300" spans="24:43" x14ac:dyDescent="0.45">
      <c r="X1300" s="2"/>
      <c r="Y1300" s="2"/>
      <c r="AC1300" s="13"/>
      <c r="AD1300" s="13"/>
      <c r="AE1300" s="13"/>
      <c r="AF1300" s="17"/>
      <c r="AH1300" s="2"/>
      <c r="AL1300" s="17"/>
      <c r="AM1300" s="17"/>
      <c r="AN1300" s="17"/>
      <c r="AO1300" s="17"/>
      <c r="AP1300" s="17"/>
      <c r="AQ1300" s="17"/>
    </row>
    <row r="1301" spans="24:43" x14ac:dyDescent="0.45">
      <c r="X1301" s="2"/>
      <c r="Y1301" s="2"/>
      <c r="AC1301" s="13"/>
      <c r="AD1301" s="13"/>
      <c r="AE1301" s="13"/>
      <c r="AF1301" s="17"/>
      <c r="AH1301" s="2"/>
      <c r="AL1301" s="17"/>
      <c r="AM1301" s="17"/>
      <c r="AN1301" s="17"/>
      <c r="AO1301" s="17"/>
      <c r="AP1301" s="17"/>
      <c r="AQ1301" s="17"/>
    </row>
    <row r="1302" spans="24:43" x14ac:dyDescent="0.45">
      <c r="X1302" s="2"/>
      <c r="Y1302" s="2"/>
      <c r="AC1302" s="13"/>
      <c r="AD1302" s="13"/>
      <c r="AE1302" s="13"/>
      <c r="AF1302" s="17"/>
      <c r="AH1302" s="2"/>
      <c r="AL1302" s="17"/>
      <c r="AM1302" s="17"/>
      <c r="AN1302" s="17"/>
      <c r="AO1302" s="17"/>
      <c r="AP1302" s="17"/>
      <c r="AQ1302" s="17"/>
    </row>
    <row r="1303" spans="24:43" x14ac:dyDescent="0.45">
      <c r="X1303" s="2"/>
      <c r="Y1303" s="2"/>
      <c r="AC1303" s="13"/>
      <c r="AD1303" s="13"/>
      <c r="AE1303" s="13"/>
      <c r="AF1303" s="17"/>
      <c r="AH1303" s="2"/>
      <c r="AL1303" s="17"/>
      <c r="AM1303" s="17"/>
      <c r="AN1303" s="17"/>
      <c r="AO1303" s="17"/>
      <c r="AP1303" s="17"/>
      <c r="AQ1303" s="17"/>
    </row>
    <row r="1304" spans="24:43" x14ac:dyDescent="0.45">
      <c r="X1304" s="2"/>
      <c r="Y1304" s="2"/>
      <c r="AC1304" s="13"/>
      <c r="AD1304" s="13"/>
      <c r="AE1304" s="13"/>
      <c r="AF1304" s="17"/>
      <c r="AH1304" s="2"/>
      <c r="AL1304" s="17"/>
      <c r="AM1304" s="17"/>
      <c r="AN1304" s="17"/>
      <c r="AO1304" s="17"/>
      <c r="AP1304" s="17"/>
      <c r="AQ1304" s="17"/>
    </row>
    <row r="1305" spans="24:43" x14ac:dyDescent="0.45">
      <c r="X1305" s="2"/>
      <c r="Y1305" s="2"/>
      <c r="AC1305" s="13"/>
      <c r="AD1305" s="13"/>
      <c r="AE1305" s="13"/>
      <c r="AF1305" s="17"/>
      <c r="AH1305" s="2"/>
      <c r="AL1305" s="17"/>
      <c r="AM1305" s="17"/>
      <c r="AN1305" s="17"/>
      <c r="AO1305" s="17"/>
      <c r="AP1305" s="17"/>
      <c r="AQ1305" s="17"/>
    </row>
    <row r="1306" spans="24:43" x14ac:dyDescent="0.45">
      <c r="X1306" s="2"/>
      <c r="Y1306" s="2"/>
      <c r="AC1306" s="13"/>
      <c r="AD1306" s="13"/>
      <c r="AE1306" s="13"/>
      <c r="AF1306" s="17"/>
      <c r="AH1306" s="2"/>
      <c r="AL1306" s="17"/>
      <c r="AM1306" s="17"/>
      <c r="AN1306" s="17"/>
      <c r="AO1306" s="17"/>
      <c r="AP1306" s="17"/>
      <c r="AQ1306" s="17"/>
    </row>
    <row r="1307" spans="24:43" x14ac:dyDescent="0.45">
      <c r="X1307" s="2"/>
      <c r="Y1307" s="2"/>
      <c r="AC1307" s="13"/>
      <c r="AD1307" s="13"/>
      <c r="AE1307" s="13"/>
      <c r="AF1307" s="17"/>
      <c r="AH1307" s="2"/>
      <c r="AL1307" s="17"/>
      <c r="AM1307" s="17"/>
      <c r="AN1307" s="17"/>
      <c r="AO1307" s="17"/>
      <c r="AP1307" s="17"/>
      <c r="AQ1307" s="17"/>
    </row>
    <row r="1308" spans="24:43" x14ac:dyDescent="0.45">
      <c r="X1308" s="2"/>
      <c r="Y1308" s="2"/>
      <c r="AC1308" s="13"/>
      <c r="AD1308" s="13"/>
      <c r="AE1308" s="13"/>
      <c r="AF1308" s="17"/>
      <c r="AH1308" s="2"/>
      <c r="AL1308" s="17"/>
      <c r="AM1308" s="17"/>
      <c r="AN1308" s="17"/>
      <c r="AO1308" s="17"/>
      <c r="AP1308" s="17"/>
      <c r="AQ1308" s="17"/>
    </row>
    <row r="1309" spans="24:43" x14ac:dyDescent="0.45">
      <c r="X1309" s="2"/>
      <c r="Y1309" s="2"/>
      <c r="AC1309" s="13"/>
      <c r="AD1309" s="13"/>
      <c r="AE1309" s="13"/>
      <c r="AF1309" s="17"/>
      <c r="AH1309" s="2"/>
      <c r="AL1309" s="17"/>
      <c r="AM1309" s="17"/>
      <c r="AN1309" s="17"/>
      <c r="AO1309" s="17"/>
      <c r="AP1309" s="17"/>
      <c r="AQ1309" s="17"/>
    </row>
    <row r="1310" spans="24:43" x14ac:dyDescent="0.45">
      <c r="X1310" s="2"/>
      <c r="Y1310" s="2"/>
      <c r="AC1310" s="13"/>
      <c r="AD1310" s="13"/>
      <c r="AE1310" s="13"/>
      <c r="AF1310" s="17"/>
      <c r="AH1310" s="2"/>
      <c r="AL1310" s="17"/>
      <c r="AM1310" s="17"/>
      <c r="AN1310" s="17"/>
      <c r="AO1310" s="17"/>
      <c r="AP1310" s="17"/>
      <c r="AQ1310" s="17"/>
    </row>
    <row r="1311" spans="24:43" x14ac:dyDescent="0.45">
      <c r="X1311" s="2"/>
      <c r="Y1311" s="2"/>
      <c r="AC1311" s="13"/>
      <c r="AD1311" s="13"/>
      <c r="AE1311" s="13"/>
      <c r="AF1311" s="17"/>
      <c r="AH1311" s="2"/>
      <c r="AL1311" s="17"/>
      <c r="AM1311" s="17"/>
      <c r="AN1311" s="17"/>
      <c r="AO1311" s="17"/>
      <c r="AP1311" s="17"/>
      <c r="AQ1311" s="17"/>
    </row>
    <row r="1312" spans="24:43" x14ac:dyDescent="0.45">
      <c r="X1312" s="2"/>
      <c r="Y1312" s="2"/>
      <c r="AC1312" s="13"/>
      <c r="AD1312" s="13"/>
      <c r="AE1312" s="13"/>
      <c r="AF1312" s="17"/>
      <c r="AH1312" s="2"/>
      <c r="AL1312" s="17"/>
      <c r="AM1312" s="17"/>
      <c r="AN1312" s="17"/>
      <c r="AO1312" s="17"/>
      <c r="AP1312" s="17"/>
      <c r="AQ1312" s="17"/>
    </row>
    <row r="1313" spans="24:43" x14ac:dyDescent="0.45">
      <c r="X1313" s="2"/>
      <c r="Y1313" s="2"/>
      <c r="AC1313" s="13"/>
      <c r="AD1313" s="13"/>
      <c r="AE1313" s="13"/>
      <c r="AF1313" s="17"/>
      <c r="AH1313" s="2"/>
      <c r="AL1313" s="17"/>
      <c r="AM1313" s="17"/>
      <c r="AN1313" s="17"/>
      <c r="AO1313" s="17"/>
      <c r="AP1313" s="17"/>
      <c r="AQ1313" s="17"/>
    </row>
    <row r="1314" spans="24:43" x14ac:dyDescent="0.45">
      <c r="X1314" s="2"/>
      <c r="Y1314" s="2"/>
      <c r="AC1314" s="13"/>
      <c r="AD1314" s="13"/>
      <c r="AE1314" s="13"/>
      <c r="AF1314" s="17"/>
      <c r="AH1314" s="2"/>
      <c r="AL1314" s="17"/>
      <c r="AM1314" s="17"/>
      <c r="AN1314" s="17"/>
      <c r="AO1314" s="17"/>
      <c r="AP1314" s="17"/>
      <c r="AQ1314" s="17"/>
    </row>
    <row r="1315" spans="24:43" x14ac:dyDescent="0.45">
      <c r="X1315" s="2"/>
      <c r="Y1315" s="2"/>
      <c r="AC1315" s="13"/>
      <c r="AD1315" s="13"/>
      <c r="AE1315" s="13"/>
      <c r="AF1315" s="17"/>
      <c r="AH1315" s="2"/>
      <c r="AL1315" s="17"/>
      <c r="AM1315" s="17"/>
      <c r="AN1315" s="17"/>
      <c r="AO1315" s="17"/>
      <c r="AP1315" s="17"/>
      <c r="AQ1315" s="17"/>
    </row>
    <row r="1316" spans="24:43" x14ac:dyDescent="0.45">
      <c r="X1316" s="2"/>
      <c r="Y1316" s="2"/>
      <c r="AC1316" s="13"/>
      <c r="AD1316" s="13"/>
      <c r="AE1316" s="13"/>
      <c r="AF1316" s="17"/>
      <c r="AH1316" s="2"/>
      <c r="AL1316" s="17"/>
      <c r="AM1316" s="17"/>
      <c r="AN1316" s="17"/>
      <c r="AO1316" s="17"/>
      <c r="AP1316" s="17"/>
      <c r="AQ1316" s="17"/>
    </row>
    <row r="1317" spans="24:43" x14ac:dyDescent="0.45">
      <c r="X1317" s="2"/>
      <c r="Y1317" s="2"/>
      <c r="AC1317" s="13"/>
      <c r="AD1317" s="13"/>
      <c r="AE1317" s="13"/>
      <c r="AF1317" s="17"/>
      <c r="AH1317" s="2"/>
      <c r="AL1317" s="17"/>
      <c r="AM1317" s="17"/>
      <c r="AN1317" s="17"/>
      <c r="AO1317" s="17"/>
      <c r="AP1317" s="17"/>
      <c r="AQ1317" s="17"/>
    </row>
    <row r="1318" spans="24:43" x14ac:dyDescent="0.45">
      <c r="X1318" s="2"/>
      <c r="Y1318" s="2"/>
      <c r="AC1318" s="13"/>
      <c r="AD1318" s="13"/>
      <c r="AE1318" s="13"/>
      <c r="AF1318" s="17"/>
      <c r="AH1318" s="2"/>
      <c r="AL1318" s="17"/>
      <c r="AM1318" s="17"/>
      <c r="AN1318" s="17"/>
      <c r="AO1318" s="17"/>
      <c r="AP1318" s="17"/>
      <c r="AQ1318" s="17"/>
    </row>
    <row r="1319" spans="24:43" x14ac:dyDescent="0.45">
      <c r="X1319" s="2"/>
      <c r="Y1319" s="2"/>
      <c r="AC1319" s="13"/>
      <c r="AD1319" s="13"/>
      <c r="AE1319" s="13"/>
      <c r="AF1319" s="17"/>
      <c r="AH1319" s="2"/>
      <c r="AL1319" s="17"/>
      <c r="AM1319" s="17"/>
      <c r="AN1319" s="17"/>
      <c r="AO1319" s="17"/>
      <c r="AP1319" s="17"/>
      <c r="AQ1319" s="17"/>
    </row>
    <row r="1320" spans="24:43" x14ac:dyDescent="0.45">
      <c r="X1320" s="2"/>
      <c r="Y1320" s="2"/>
      <c r="AC1320" s="13"/>
      <c r="AD1320" s="13"/>
      <c r="AE1320" s="13"/>
      <c r="AF1320" s="17"/>
      <c r="AH1320" s="2"/>
      <c r="AL1320" s="17"/>
      <c r="AM1320" s="17"/>
      <c r="AN1320" s="17"/>
      <c r="AO1320" s="17"/>
      <c r="AP1320" s="17"/>
      <c r="AQ1320" s="17"/>
    </row>
    <row r="1321" spans="24:43" x14ac:dyDescent="0.45">
      <c r="X1321" s="2"/>
      <c r="Y1321" s="2"/>
      <c r="AC1321" s="13"/>
      <c r="AD1321" s="13"/>
      <c r="AE1321" s="13"/>
      <c r="AF1321" s="17"/>
      <c r="AH1321" s="2"/>
      <c r="AL1321" s="17"/>
      <c r="AM1321" s="17"/>
      <c r="AN1321" s="17"/>
      <c r="AO1321" s="17"/>
      <c r="AP1321" s="17"/>
      <c r="AQ1321" s="17"/>
    </row>
    <row r="1322" spans="24:43" x14ac:dyDescent="0.45">
      <c r="X1322" s="2"/>
      <c r="Y1322" s="2"/>
      <c r="AC1322" s="13"/>
      <c r="AD1322" s="13"/>
      <c r="AE1322" s="13"/>
      <c r="AF1322" s="17"/>
      <c r="AH1322" s="2"/>
      <c r="AL1322" s="17"/>
      <c r="AM1322" s="17"/>
      <c r="AN1322" s="17"/>
      <c r="AO1322" s="17"/>
      <c r="AP1322" s="17"/>
      <c r="AQ1322" s="17"/>
    </row>
    <row r="1323" spans="24:43" x14ac:dyDescent="0.45">
      <c r="X1323" s="2"/>
      <c r="Y1323" s="2"/>
      <c r="AC1323" s="13"/>
      <c r="AD1323" s="13"/>
      <c r="AE1323" s="13"/>
      <c r="AF1323" s="17"/>
      <c r="AH1323" s="2"/>
      <c r="AL1323" s="17"/>
      <c r="AM1323" s="17"/>
      <c r="AN1323" s="17"/>
      <c r="AO1323" s="17"/>
      <c r="AP1323" s="17"/>
      <c r="AQ1323" s="17"/>
    </row>
    <row r="1324" spans="24:43" x14ac:dyDescent="0.45">
      <c r="X1324" s="2"/>
      <c r="Y1324" s="2"/>
      <c r="AC1324" s="13"/>
      <c r="AD1324" s="13"/>
      <c r="AE1324" s="13"/>
      <c r="AF1324" s="17"/>
      <c r="AH1324" s="2"/>
      <c r="AL1324" s="17"/>
      <c r="AM1324" s="17"/>
      <c r="AN1324" s="17"/>
      <c r="AO1324" s="17"/>
      <c r="AP1324" s="17"/>
      <c r="AQ1324" s="17"/>
    </row>
    <row r="1325" spans="24:43" x14ac:dyDescent="0.45">
      <c r="X1325" s="2"/>
      <c r="Y1325" s="2"/>
      <c r="AC1325" s="13"/>
      <c r="AD1325" s="13"/>
      <c r="AE1325" s="13"/>
      <c r="AF1325" s="17"/>
      <c r="AH1325" s="2"/>
      <c r="AL1325" s="17"/>
      <c r="AM1325" s="17"/>
      <c r="AN1325" s="17"/>
      <c r="AO1325" s="17"/>
      <c r="AP1325" s="17"/>
      <c r="AQ1325" s="17"/>
    </row>
    <row r="1326" spans="24:43" x14ac:dyDescent="0.45">
      <c r="X1326" s="2"/>
      <c r="Y1326" s="2"/>
      <c r="AC1326" s="13"/>
      <c r="AD1326" s="13"/>
      <c r="AE1326" s="13"/>
      <c r="AF1326" s="17"/>
      <c r="AH1326" s="2"/>
      <c r="AL1326" s="17"/>
      <c r="AM1326" s="17"/>
      <c r="AN1326" s="17"/>
      <c r="AO1326" s="17"/>
      <c r="AP1326" s="17"/>
      <c r="AQ1326" s="17"/>
    </row>
    <row r="1327" spans="24:43" x14ac:dyDescent="0.45">
      <c r="X1327" s="2"/>
      <c r="Y1327" s="2"/>
      <c r="AC1327" s="13"/>
      <c r="AD1327" s="13"/>
      <c r="AE1327" s="13"/>
      <c r="AF1327" s="17"/>
      <c r="AH1327" s="2"/>
      <c r="AL1327" s="17"/>
      <c r="AM1327" s="17"/>
      <c r="AN1327" s="17"/>
      <c r="AO1327" s="17"/>
      <c r="AP1327" s="17"/>
      <c r="AQ1327" s="17"/>
    </row>
    <row r="1328" spans="24:43" x14ac:dyDescent="0.45">
      <c r="X1328" s="2"/>
      <c r="Y1328" s="2"/>
      <c r="AC1328" s="13"/>
      <c r="AD1328" s="13"/>
      <c r="AE1328" s="13"/>
      <c r="AF1328" s="17"/>
      <c r="AH1328" s="2"/>
      <c r="AL1328" s="17"/>
      <c r="AM1328" s="17"/>
      <c r="AN1328" s="17"/>
      <c r="AO1328" s="17"/>
      <c r="AP1328" s="17"/>
      <c r="AQ1328" s="17"/>
    </row>
    <row r="1329" spans="24:43" x14ac:dyDescent="0.45">
      <c r="X1329" s="2"/>
      <c r="Y1329" s="2"/>
      <c r="AC1329" s="13"/>
      <c r="AD1329" s="13"/>
      <c r="AE1329" s="13"/>
      <c r="AF1329" s="17"/>
      <c r="AH1329" s="2"/>
      <c r="AL1329" s="17"/>
      <c r="AM1329" s="17"/>
      <c r="AN1329" s="17"/>
      <c r="AO1329" s="17"/>
      <c r="AP1329" s="17"/>
      <c r="AQ1329" s="17"/>
    </row>
    <row r="1330" spans="24:43" x14ac:dyDescent="0.45">
      <c r="X1330" s="2"/>
      <c r="Y1330" s="2"/>
      <c r="AC1330" s="13"/>
      <c r="AD1330" s="13"/>
      <c r="AE1330" s="13"/>
      <c r="AF1330" s="17"/>
      <c r="AH1330" s="2"/>
      <c r="AL1330" s="17"/>
      <c r="AM1330" s="17"/>
      <c r="AN1330" s="17"/>
      <c r="AO1330" s="17"/>
      <c r="AP1330" s="17"/>
      <c r="AQ1330" s="17"/>
    </row>
    <row r="1331" spans="24:43" x14ac:dyDescent="0.45">
      <c r="X1331" s="2"/>
      <c r="Y1331" s="2"/>
      <c r="AC1331" s="13"/>
      <c r="AD1331" s="13"/>
      <c r="AE1331" s="13"/>
      <c r="AF1331" s="17"/>
      <c r="AH1331" s="2"/>
      <c r="AL1331" s="17"/>
      <c r="AM1331" s="17"/>
      <c r="AN1331" s="17"/>
      <c r="AO1331" s="17"/>
      <c r="AP1331" s="17"/>
      <c r="AQ1331" s="17"/>
    </row>
    <row r="1332" spans="24:43" x14ac:dyDescent="0.45">
      <c r="X1332" s="2"/>
      <c r="Y1332" s="2"/>
      <c r="AC1332" s="13"/>
      <c r="AD1332" s="13"/>
      <c r="AE1332" s="13"/>
      <c r="AF1332" s="17"/>
      <c r="AH1332" s="2"/>
      <c r="AL1332" s="17"/>
      <c r="AM1332" s="17"/>
      <c r="AN1332" s="17"/>
      <c r="AO1332" s="17"/>
      <c r="AP1332" s="17"/>
      <c r="AQ1332" s="17"/>
    </row>
    <row r="1333" spans="24:43" x14ac:dyDescent="0.45">
      <c r="X1333" s="2"/>
      <c r="Y1333" s="2"/>
      <c r="AC1333" s="13"/>
      <c r="AD1333" s="13"/>
      <c r="AE1333" s="13"/>
      <c r="AF1333" s="17"/>
      <c r="AH1333" s="2"/>
      <c r="AL1333" s="17"/>
      <c r="AM1333" s="17"/>
      <c r="AN1333" s="17"/>
      <c r="AO1333" s="17"/>
      <c r="AP1333" s="17"/>
      <c r="AQ1333" s="17"/>
    </row>
    <row r="1334" spans="24:43" x14ac:dyDescent="0.45">
      <c r="X1334" s="2"/>
      <c r="Y1334" s="2"/>
      <c r="AC1334" s="13"/>
      <c r="AD1334" s="13"/>
      <c r="AE1334" s="13"/>
      <c r="AF1334" s="17"/>
      <c r="AH1334" s="2"/>
      <c r="AL1334" s="17"/>
      <c r="AM1334" s="17"/>
      <c r="AN1334" s="17"/>
      <c r="AO1334" s="17"/>
      <c r="AP1334" s="17"/>
      <c r="AQ1334" s="17"/>
    </row>
    <row r="1335" spans="24:43" x14ac:dyDescent="0.45">
      <c r="X1335" s="2"/>
      <c r="Y1335" s="2"/>
      <c r="AC1335" s="13"/>
      <c r="AD1335" s="13"/>
      <c r="AE1335" s="13"/>
      <c r="AF1335" s="17"/>
      <c r="AH1335" s="2"/>
      <c r="AL1335" s="17"/>
      <c r="AM1335" s="17"/>
      <c r="AN1335" s="17"/>
      <c r="AO1335" s="17"/>
      <c r="AP1335" s="17"/>
      <c r="AQ1335" s="17"/>
    </row>
    <row r="1336" spans="24:43" x14ac:dyDescent="0.45">
      <c r="X1336" s="2"/>
      <c r="Y1336" s="2"/>
      <c r="AC1336" s="13"/>
      <c r="AD1336" s="13"/>
      <c r="AE1336" s="13"/>
      <c r="AF1336" s="17"/>
      <c r="AH1336" s="2"/>
      <c r="AL1336" s="17"/>
      <c r="AM1336" s="17"/>
      <c r="AN1336" s="17"/>
      <c r="AO1336" s="17"/>
      <c r="AP1336" s="17"/>
      <c r="AQ1336" s="17"/>
    </row>
    <row r="1337" spans="24:43" x14ac:dyDescent="0.45">
      <c r="X1337" s="2"/>
      <c r="Y1337" s="2"/>
      <c r="AC1337" s="13"/>
      <c r="AD1337" s="13"/>
      <c r="AE1337" s="13"/>
      <c r="AF1337" s="17"/>
      <c r="AH1337" s="2"/>
      <c r="AL1337" s="17"/>
      <c r="AM1337" s="17"/>
      <c r="AN1337" s="17"/>
      <c r="AO1337" s="17"/>
      <c r="AP1337" s="17"/>
      <c r="AQ1337" s="17"/>
    </row>
    <row r="1338" spans="24:43" x14ac:dyDescent="0.45">
      <c r="X1338" s="2"/>
      <c r="Y1338" s="2"/>
      <c r="AC1338" s="13"/>
      <c r="AD1338" s="13"/>
      <c r="AE1338" s="13"/>
      <c r="AF1338" s="17"/>
      <c r="AH1338" s="2"/>
      <c r="AL1338" s="17"/>
      <c r="AM1338" s="17"/>
      <c r="AN1338" s="17"/>
      <c r="AO1338" s="17"/>
      <c r="AP1338" s="17"/>
      <c r="AQ1338" s="17"/>
    </row>
    <row r="1339" spans="24:43" x14ac:dyDescent="0.45">
      <c r="X1339" s="2"/>
      <c r="Y1339" s="2"/>
      <c r="AC1339" s="13"/>
      <c r="AD1339" s="13"/>
      <c r="AE1339" s="13"/>
      <c r="AF1339" s="17"/>
      <c r="AH1339" s="2"/>
      <c r="AL1339" s="17"/>
      <c r="AM1339" s="17"/>
      <c r="AN1339" s="17"/>
      <c r="AO1339" s="17"/>
      <c r="AP1339" s="17"/>
      <c r="AQ1339" s="17"/>
    </row>
    <row r="1340" spans="24:43" x14ac:dyDescent="0.45">
      <c r="X1340" s="2"/>
      <c r="Y1340" s="2"/>
      <c r="AC1340" s="13"/>
      <c r="AD1340" s="13"/>
      <c r="AE1340" s="13"/>
      <c r="AF1340" s="17"/>
      <c r="AH1340" s="2"/>
      <c r="AL1340" s="17"/>
      <c r="AM1340" s="17"/>
      <c r="AN1340" s="17"/>
      <c r="AO1340" s="17"/>
      <c r="AP1340" s="17"/>
      <c r="AQ1340" s="17"/>
    </row>
    <row r="1341" spans="24:43" x14ac:dyDescent="0.45">
      <c r="X1341" s="2"/>
      <c r="Y1341" s="2"/>
      <c r="AC1341" s="13"/>
      <c r="AD1341" s="13"/>
      <c r="AE1341" s="13"/>
      <c r="AF1341" s="17"/>
      <c r="AH1341" s="2"/>
      <c r="AL1341" s="17"/>
      <c r="AM1341" s="17"/>
      <c r="AN1341" s="17"/>
      <c r="AO1341" s="17"/>
      <c r="AP1341" s="17"/>
      <c r="AQ1341" s="17"/>
    </row>
    <row r="1342" spans="24:43" x14ac:dyDescent="0.45">
      <c r="X1342" s="2"/>
      <c r="Y1342" s="2"/>
      <c r="AC1342" s="13"/>
      <c r="AD1342" s="13"/>
      <c r="AE1342" s="13"/>
      <c r="AF1342" s="17"/>
      <c r="AH1342" s="2"/>
      <c r="AL1342" s="17"/>
      <c r="AM1342" s="17"/>
      <c r="AN1342" s="17"/>
      <c r="AO1342" s="17"/>
      <c r="AP1342" s="17"/>
      <c r="AQ1342" s="17"/>
    </row>
    <row r="1343" spans="24:43" x14ac:dyDescent="0.45">
      <c r="X1343" s="2"/>
      <c r="Y1343" s="2"/>
      <c r="AC1343" s="13"/>
      <c r="AD1343" s="13"/>
      <c r="AE1343" s="13"/>
      <c r="AF1343" s="17"/>
      <c r="AH1343" s="2"/>
      <c r="AL1343" s="17"/>
      <c r="AM1343" s="17"/>
      <c r="AN1343" s="17"/>
      <c r="AO1343" s="17"/>
      <c r="AP1343" s="17"/>
      <c r="AQ1343" s="17"/>
    </row>
    <row r="1344" spans="24:43" x14ac:dyDescent="0.45">
      <c r="X1344" s="2"/>
      <c r="Y1344" s="2"/>
      <c r="AC1344" s="13"/>
      <c r="AD1344" s="13"/>
      <c r="AE1344" s="13"/>
      <c r="AF1344" s="17"/>
      <c r="AH1344" s="2"/>
      <c r="AL1344" s="17"/>
      <c r="AM1344" s="17"/>
      <c r="AN1344" s="17"/>
      <c r="AO1344" s="17"/>
      <c r="AP1344" s="17"/>
      <c r="AQ1344" s="17"/>
    </row>
    <row r="1345" spans="24:43" x14ac:dyDescent="0.45">
      <c r="X1345" s="2"/>
      <c r="Y1345" s="2"/>
      <c r="AC1345" s="13"/>
      <c r="AD1345" s="13"/>
      <c r="AE1345" s="13"/>
      <c r="AF1345" s="17"/>
      <c r="AH1345" s="2"/>
      <c r="AL1345" s="17"/>
      <c r="AM1345" s="17"/>
      <c r="AN1345" s="17"/>
      <c r="AO1345" s="17"/>
      <c r="AP1345" s="17"/>
      <c r="AQ1345" s="17"/>
    </row>
    <row r="1346" spans="24:43" x14ac:dyDescent="0.45">
      <c r="X1346" s="2"/>
      <c r="Y1346" s="2"/>
      <c r="AC1346" s="13"/>
      <c r="AD1346" s="13"/>
      <c r="AE1346" s="13"/>
      <c r="AF1346" s="17"/>
      <c r="AH1346" s="2"/>
      <c r="AL1346" s="17"/>
      <c r="AM1346" s="17"/>
      <c r="AN1346" s="17"/>
      <c r="AO1346" s="17"/>
      <c r="AP1346" s="17"/>
      <c r="AQ1346" s="17"/>
    </row>
    <row r="1347" spans="24:43" x14ac:dyDescent="0.45">
      <c r="X1347" s="2"/>
      <c r="Y1347" s="2"/>
      <c r="AC1347" s="13"/>
      <c r="AD1347" s="13"/>
      <c r="AE1347" s="13"/>
      <c r="AF1347" s="17"/>
      <c r="AH1347" s="2"/>
      <c r="AL1347" s="17"/>
      <c r="AM1347" s="17"/>
      <c r="AN1347" s="17"/>
      <c r="AO1347" s="17"/>
      <c r="AP1347" s="17"/>
      <c r="AQ1347" s="17"/>
    </row>
    <row r="1348" spans="24:43" x14ac:dyDescent="0.45">
      <c r="X1348" s="2"/>
      <c r="Y1348" s="2"/>
      <c r="AC1348" s="13"/>
      <c r="AD1348" s="13"/>
      <c r="AE1348" s="13"/>
      <c r="AF1348" s="17"/>
      <c r="AH1348" s="2"/>
      <c r="AL1348" s="17"/>
      <c r="AM1348" s="17"/>
      <c r="AN1348" s="17"/>
      <c r="AO1348" s="17"/>
      <c r="AP1348" s="17"/>
      <c r="AQ1348" s="17"/>
    </row>
    <row r="1349" spans="24:43" x14ac:dyDescent="0.45">
      <c r="X1349" s="2"/>
      <c r="Y1349" s="2"/>
      <c r="AC1349" s="13"/>
      <c r="AD1349" s="13"/>
      <c r="AE1349" s="13"/>
      <c r="AF1349" s="17"/>
      <c r="AH1349" s="2"/>
      <c r="AL1349" s="17"/>
      <c r="AM1349" s="17"/>
      <c r="AN1349" s="17"/>
      <c r="AO1349" s="17"/>
      <c r="AP1349" s="17"/>
      <c r="AQ1349" s="17"/>
    </row>
    <row r="1350" spans="24:43" x14ac:dyDescent="0.45">
      <c r="X1350" s="2"/>
      <c r="Y1350" s="2"/>
      <c r="AC1350" s="13"/>
      <c r="AD1350" s="13"/>
      <c r="AE1350" s="13"/>
      <c r="AF1350" s="17"/>
      <c r="AH1350" s="2"/>
      <c r="AL1350" s="17"/>
      <c r="AM1350" s="17"/>
      <c r="AN1350" s="17"/>
      <c r="AO1350" s="17"/>
      <c r="AP1350" s="17"/>
      <c r="AQ1350" s="17"/>
    </row>
    <row r="1351" spans="24:43" x14ac:dyDescent="0.45">
      <c r="X1351" s="2"/>
      <c r="Y1351" s="2"/>
      <c r="AC1351" s="13"/>
      <c r="AD1351" s="13"/>
      <c r="AE1351" s="13"/>
      <c r="AF1351" s="17"/>
      <c r="AH1351" s="2"/>
      <c r="AL1351" s="17"/>
      <c r="AM1351" s="17"/>
      <c r="AN1351" s="17"/>
      <c r="AO1351" s="17"/>
      <c r="AP1351" s="17"/>
      <c r="AQ1351" s="17"/>
    </row>
    <row r="1352" spans="24:43" x14ac:dyDescent="0.45">
      <c r="X1352" s="2"/>
      <c r="Y1352" s="2"/>
      <c r="AC1352" s="13"/>
      <c r="AD1352" s="13"/>
      <c r="AE1352" s="13"/>
      <c r="AF1352" s="17"/>
      <c r="AH1352" s="2"/>
      <c r="AL1352" s="17"/>
      <c r="AM1352" s="17"/>
      <c r="AN1352" s="17"/>
      <c r="AO1352" s="17"/>
      <c r="AP1352" s="17"/>
      <c r="AQ1352" s="17"/>
    </row>
    <row r="1353" spans="24:43" x14ac:dyDescent="0.45">
      <c r="X1353" s="2"/>
      <c r="Y1353" s="2"/>
      <c r="AC1353" s="13"/>
      <c r="AD1353" s="13"/>
      <c r="AE1353" s="13"/>
      <c r="AF1353" s="17"/>
      <c r="AH1353" s="2"/>
      <c r="AL1353" s="17"/>
      <c r="AM1353" s="17"/>
      <c r="AN1353" s="17"/>
      <c r="AO1353" s="17"/>
      <c r="AP1353" s="17"/>
      <c r="AQ1353" s="17"/>
    </row>
    <row r="1354" spans="24:43" x14ac:dyDescent="0.45">
      <c r="X1354" s="2"/>
      <c r="Y1354" s="2"/>
      <c r="AC1354" s="13"/>
      <c r="AD1354" s="13"/>
      <c r="AE1354" s="13"/>
      <c r="AF1354" s="17"/>
      <c r="AH1354" s="2"/>
      <c r="AL1354" s="17"/>
      <c r="AM1354" s="17"/>
      <c r="AN1354" s="17"/>
      <c r="AO1354" s="17"/>
      <c r="AP1354" s="17"/>
      <c r="AQ1354" s="17"/>
    </row>
    <row r="1355" spans="24:43" x14ac:dyDescent="0.45">
      <c r="X1355" s="2"/>
      <c r="Y1355" s="2"/>
      <c r="AC1355" s="13"/>
      <c r="AD1355" s="13"/>
      <c r="AE1355" s="13"/>
      <c r="AF1355" s="17"/>
      <c r="AH1355" s="2"/>
      <c r="AL1355" s="17"/>
      <c r="AM1355" s="17"/>
      <c r="AN1355" s="17"/>
      <c r="AO1355" s="17"/>
      <c r="AP1355" s="17"/>
      <c r="AQ1355" s="17"/>
    </row>
    <row r="1356" spans="24:43" x14ac:dyDescent="0.45">
      <c r="X1356" s="2"/>
      <c r="Y1356" s="2"/>
      <c r="AC1356" s="13"/>
      <c r="AD1356" s="13"/>
      <c r="AE1356" s="13"/>
      <c r="AF1356" s="17"/>
      <c r="AH1356" s="2"/>
      <c r="AL1356" s="17"/>
      <c r="AM1356" s="17"/>
      <c r="AN1356" s="17"/>
      <c r="AO1356" s="17"/>
      <c r="AP1356" s="17"/>
      <c r="AQ1356" s="17"/>
    </row>
    <row r="1357" spans="24:43" x14ac:dyDescent="0.45">
      <c r="X1357" s="2"/>
      <c r="Y1357" s="2"/>
      <c r="AC1357" s="13"/>
      <c r="AD1357" s="13"/>
      <c r="AE1357" s="13"/>
      <c r="AF1357" s="17"/>
      <c r="AH1357" s="2"/>
      <c r="AL1357" s="17"/>
      <c r="AM1357" s="17"/>
      <c r="AN1357" s="17"/>
      <c r="AO1357" s="17"/>
      <c r="AP1357" s="17"/>
      <c r="AQ1357" s="17"/>
    </row>
    <row r="1358" spans="24:43" x14ac:dyDescent="0.45">
      <c r="X1358" s="2"/>
      <c r="Y1358" s="2"/>
      <c r="AC1358" s="13"/>
      <c r="AD1358" s="13"/>
      <c r="AE1358" s="13"/>
      <c r="AF1358" s="17"/>
      <c r="AH1358" s="2"/>
      <c r="AL1358" s="17"/>
      <c r="AM1358" s="17"/>
      <c r="AN1358" s="17"/>
      <c r="AO1358" s="17"/>
      <c r="AP1358" s="17"/>
      <c r="AQ1358" s="17"/>
    </row>
    <row r="1359" spans="24:43" x14ac:dyDescent="0.45">
      <c r="X1359" s="2"/>
      <c r="Y1359" s="2"/>
      <c r="AC1359" s="13"/>
      <c r="AD1359" s="13"/>
      <c r="AE1359" s="13"/>
      <c r="AF1359" s="17"/>
      <c r="AH1359" s="2"/>
      <c r="AL1359" s="17"/>
      <c r="AM1359" s="17"/>
      <c r="AN1359" s="17"/>
      <c r="AO1359" s="17"/>
      <c r="AP1359" s="17"/>
      <c r="AQ1359" s="17"/>
    </row>
    <row r="1360" spans="24:43" x14ac:dyDescent="0.45">
      <c r="X1360" s="2"/>
      <c r="Y1360" s="2"/>
      <c r="AC1360" s="13"/>
      <c r="AD1360" s="13"/>
      <c r="AE1360" s="13"/>
      <c r="AF1360" s="17"/>
      <c r="AH1360" s="2"/>
      <c r="AL1360" s="17"/>
      <c r="AM1360" s="17"/>
      <c r="AN1360" s="17"/>
      <c r="AO1360" s="17"/>
      <c r="AP1360" s="17"/>
      <c r="AQ1360" s="17"/>
    </row>
    <row r="1361" spans="24:43" x14ac:dyDescent="0.45">
      <c r="X1361" s="2"/>
      <c r="Y1361" s="2"/>
      <c r="AC1361" s="13"/>
      <c r="AD1361" s="13"/>
      <c r="AE1361" s="13"/>
      <c r="AF1361" s="17"/>
      <c r="AH1361" s="2"/>
      <c r="AL1361" s="17"/>
      <c r="AM1361" s="17"/>
      <c r="AN1361" s="17"/>
      <c r="AO1361" s="17"/>
      <c r="AP1361" s="17"/>
      <c r="AQ1361" s="17"/>
    </row>
    <row r="1362" spans="24:43" x14ac:dyDescent="0.45">
      <c r="X1362" s="2"/>
      <c r="Y1362" s="2"/>
      <c r="AC1362" s="13"/>
      <c r="AD1362" s="13"/>
      <c r="AE1362" s="13"/>
      <c r="AF1362" s="17"/>
      <c r="AH1362" s="2"/>
      <c r="AL1362" s="17"/>
      <c r="AM1362" s="17"/>
      <c r="AN1362" s="17"/>
      <c r="AO1362" s="17"/>
      <c r="AP1362" s="17"/>
      <c r="AQ1362" s="17"/>
    </row>
    <row r="1363" spans="24:43" x14ac:dyDescent="0.45">
      <c r="X1363" s="2"/>
      <c r="Y1363" s="2"/>
      <c r="AC1363" s="13"/>
      <c r="AD1363" s="13"/>
      <c r="AE1363" s="13"/>
      <c r="AF1363" s="17"/>
      <c r="AH1363" s="2"/>
      <c r="AL1363" s="17"/>
      <c r="AM1363" s="17"/>
      <c r="AN1363" s="17"/>
      <c r="AO1363" s="17"/>
      <c r="AP1363" s="17"/>
      <c r="AQ1363" s="17"/>
    </row>
    <row r="1364" spans="24:43" x14ac:dyDescent="0.45">
      <c r="X1364" s="2"/>
      <c r="Y1364" s="2"/>
      <c r="AC1364" s="13"/>
      <c r="AD1364" s="13"/>
      <c r="AE1364" s="13"/>
      <c r="AF1364" s="17"/>
      <c r="AH1364" s="2"/>
      <c r="AL1364" s="17"/>
      <c r="AM1364" s="17"/>
      <c r="AN1364" s="17"/>
      <c r="AO1364" s="17"/>
      <c r="AP1364" s="17"/>
      <c r="AQ1364" s="17"/>
    </row>
    <row r="1365" spans="24:43" x14ac:dyDescent="0.45">
      <c r="X1365" s="2"/>
      <c r="Y1365" s="2"/>
      <c r="AC1365" s="13"/>
      <c r="AD1365" s="13"/>
      <c r="AE1365" s="13"/>
      <c r="AF1365" s="17"/>
      <c r="AH1365" s="2"/>
      <c r="AL1365" s="17"/>
      <c r="AM1365" s="17"/>
      <c r="AN1365" s="17"/>
      <c r="AO1365" s="17"/>
      <c r="AP1365" s="17"/>
      <c r="AQ1365" s="17"/>
    </row>
    <row r="1366" spans="24:43" x14ac:dyDescent="0.45">
      <c r="X1366" s="2"/>
      <c r="Y1366" s="2"/>
      <c r="AC1366" s="13"/>
      <c r="AD1366" s="13"/>
      <c r="AE1366" s="13"/>
      <c r="AF1366" s="17"/>
      <c r="AH1366" s="2"/>
      <c r="AL1366" s="17"/>
      <c r="AM1366" s="17"/>
      <c r="AN1366" s="17"/>
      <c r="AO1366" s="17"/>
      <c r="AP1366" s="17"/>
      <c r="AQ1366" s="17"/>
    </row>
    <row r="1367" spans="24:43" x14ac:dyDescent="0.45">
      <c r="X1367" s="2"/>
      <c r="Y1367" s="2"/>
      <c r="AC1367" s="13"/>
      <c r="AD1367" s="13"/>
      <c r="AE1367" s="13"/>
      <c r="AF1367" s="17"/>
      <c r="AH1367" s="2"/>
      <c r="AL1367" s="17"/>
      <c r="AM1367" s="17"/>
      <c r="AN1367" s="17"/>
      <c r="AO1367" s="17"/>
      <c r="AP1367" s="17"/>
      <c r="AQ1367" s="17"/>
    </row>
    <row r="1368" spans="24:43" x14ac:dyDescent="0.45">
      <c r="X1368" s="2"/>
      <c r="Y1368" s="2"/>
      <c r="AC1368" s="13"/>
      <c r="AD1368" s="13"/>
      <c r="AE1368" s="13"/>
      <c r="AF1368" s="17"/>
      <c r="AH1368" s="2"/>
      <c r="AL1368" s="17"/>
      <c r="AM1368" s="17"/>
      <c r="AN1368" s="17"/>
      <c r="AO1368" s="17"/>
      <c r="AP1368" s="17"/>
      <c r="AQ1368" s="17"/>
    </row>
    <row r="1369" spans="24:43" x14ac:dyDescent="0.45">
      <c r="X1369" s="2"/>
      <c r="Y1369" s="2"/>
      <c r="AC1369" s="13"/>
      <c r="AD1369" s="13"/>
      <c r="AE1369" s="13"/>
      <c r="AF1369" s="17"/>
      <c r="AH1369" s="2"/>
      <c r="AL1369" s="17"/>
      <c r="AM1369" s="17"/>
      <c r="AN1369" s="17"/>
      <c r="AO1369" s="17"/>
      <c r="AP1369" s="17"/>
      <c r="AQ1369" s="17"/>
    </row>
    <row r="1370" spans="24:43" x14ac:dyDescent="0.45">
      <c r="X1370" s="2"/>
      <c r="Y1370" s="2"/>
      <c r="AC1370" s="13"/>
      <c r="AD1370" s="13"/>
      <c r="AE1370" s="13"/>
      <c r="AF1370" s="17"/>
      <c r="AH1370" s="2"/>
      <c r="AL1370" s="17"/>
      <c r="AM1370" s="17"/>
      <c r="AN1370" s="17"/>
      <c r="AO1370" s="17"/>
      <c r="AP1370" s="17"/>
      <c r="AQ1370" s="17"/>
    </row>
    <row r="1371" spans="24:43" x14ac:dyDescent="0.45">
      <c r="X1371" s="2"/>
      <c r="Y1371" s="2"/>
      <c r="AC1371" s="13"/>
      <c r="AD1371" s="13"/>
      <c r="AE1371" s="13"/>
      <c r="AF1371" s="17"/>
      <c r="AH1371" s="2"/>
      <c r="AL1371" s="17"/>
      <c r="AM1371" s="17"/>
      <c r="AN1371" s="17"/>
      <c r="AO1371" s="17"/>
      <c r="AP1371" s="17"/>
      <c r="AQ1371" s="17"/>
    </row>
    <row r="1372" spans="24:43" x14ac:dyDescent="0.45">
      <c r="X1372" s="2"/>
      <c r="Y1372" s="2"/>
      <c r="AC1372" s="13"/>
      <c r="AD1372" s="13"/>
      <c r="AE1372" s="13"/>
      <c r="AF1372" s="17"/>
      <c r="AH1372" s="2"/>
      <c r="AL1372" s="17"/>
      <c r="AM1372" s="17"/>
      <c r="AN1372" s="17"/>
      <c r="AO1372" s="17"/>
      <c r="AP1372" s="17"/>
      <c r="AQ1372" s="17"/>
    </row>
    <row r="1373" spans="24:43" x14ac:dyDescent="0.45">
      <c r="X1373" s="2"/>
      <c r="Y1373" s="2"/>
      <c r="AC1373" s="13"/>
      <c r="AD1373" s="13"/>
      <c r="AE1373" s="13"/>
      <c r="AF1373" s="17"/>
      <c r="AH1373" s="2"/>
      <c r="AL1373" s="17"/>
      <c r="AM1373" s="17"/>
      <c r="AN1373" s="17"/>
      <c r="AO1373" s="17"/>
      <c r="AP1373" s="17"/>
      <c r="AQ1373" s="17"/>
    </row>
    <row r="1374" spans="24:43" x14ac:dyDescent="0.45">
      <c r="X1374" s="2"/>
      <c r="Y1374" s="2"/>
      <c r="AC1374" s="13"/>
      <c r="AD1374" s="13"/>
      <c r="AE1374" s="13"/>
      <c r="AF1374" s="17"/>
      <c r="AH1374" s="2"/>
      <c r="AL1374" s="17"/>
      <c r="AM1374" s="17"/>
      <c r="AN1374" s="17"/>
      <c r="AO1374" s="17"/>
      <c r="AP1374" s="17"/>
      <c r="AQ1374" s="17"/>
    </row>
    <row r="1375" spans="24:43" x14ac:dyDescent="0.45">
      <c r="X1375" s="2"/>
      <c r="Y1375" s="2"/>
      <c r="AC1375" s="13"/>
      <c r="AD1375" s="13"/>
      <c r="AE1375" s="13"/>
      <c r="AF1375" s="17"/>
      <c r="AH1375" s="2"/>
      <c r="AL1375" s="17"/>
      <c r="AM1375" s="17"/>
      <c r="AN1375" s="17"/>
      <c r="AO1375" s="17"/>
      <c r="AP1375" s="17"/>
      <c r="AQ1375" s="17"/>
    </row>
    <row r="1376" spans="24:43" x14ac:dyDescent="0.45">
      <c r="X1376" s="2"/>
      <c r="Y1376" s="2"/>
      <c r="AC1376" s="13"/>
      <c r="AD1376" s="13"/>
      <c r="AE1376" s="13"/>
      <c r="AF1376" s="17"/>
      <c r="AH1376" s="2"/>
      <c r="AL1376" s="17"/>
      <c r="AM1376" s="17"/>
      <c r="AN1376" s="17"/>
      <c r="AO1376" s="17"/>
      <c r="AP1376" s="17"/>
      <c r="AQ1376" s="17"/>
    </row>
    <row r="1377" spans="24:43" x14ac:dyDescent="0.45">
      <c r="X1377" s="2"/>
      <c r="Y1377" s="2"/>
      <c r="AC1377" s="13"/>
      <c r="AD1377" s="13"/>
      <c r="AE1377" s="13"/>
      <c r="AF1377" s="17"/>
      <c r="AH1377" s="2"/>
      <c r="AL1377" s="17"/>
      <c r="AM1377" s="17"/>
      <c r="AN1377" s="17"/>
      <c r="AO1377" s="17"/>
      <c r="AP1377" s="17"/>
      <c r="AQ1377" s="17"/>
    </row>
    <row r="1378" spans="24:43" x14ac:dyDescent="0.45">
      <c r="X1378" s="2"/>
      <c r="Y1378" s="2"/>
      <c r="AC1378" s="13"/>
      <c r="AD1378" s="13"/>
      <c r="AE1378" s="13"/>
      <c r="AF1378" s="17"/>
      <c r="AH1378" s="2"/>
      <c r="AL1378" s="17"/>
      <c r="AM1378" s="17"/>
      <c r="AN1378" s="17"/>
      <c r="AO1378" s="17"/>
      <c r="AP1378" s="17"/>
      <c r="AQ1378" s="17"/>
    </row>
    <row r="1379" spans="24:43" x14ac:dyDescent="0.45">
      <c r="X1379" s="2"/>
      <c r="Y1379" s="2"/>
      <c r="AC1379" s="13"/>
      <c r="AD1379" s="13"/>
      <c r="AE1379" s="13"/>
      <c r="AF1379" s="17"/>
      <c r="AH1379" s="2"/>
      <c r="AL1379" s="17"/>
      <c r="AM1379" s="17"/>
      <c r="AN1379" s="17"/>
      <c r="AO1379" s="17"/>
      <c r="AP1379" s="17"/>
      <c r="AQ1379" s="17"/>
    </row>
    <row r="1380" spans="24:43" x14ac:dyDescent="0.45">
      <c r="X1380" s="2"/>
      <c r="Y1380" s="2"/>
      <c r="AC1380" s="13"/>
      <c r="AD1380" s="13"/>
      <c r="AE1380" s="13"/>
      <c r="AF1380" s="17"/>
      <c r="AH1380" s="2"/>
      <c r="AL1380" s="17"/>
      <c r="AM1380" s="17"/>
      <c r="AN1380" s="17"/>
      <c r="AO1380" s="17"/>
      <c r="AP1380" s="17"/>
      <c r="AQ1380" s="17"/>
    </row>
    <row r="1381" spans="24:43" x14ac:dyDescent="0.45">
      <c r="X1381" s="2"/>
      <c r="Y1381" s="2"/>
      <c r="AC1381" s="13"/>
      <c r="AD1381" s="13"/>
      <c r="AE1381" s="13"/>
      <c r="AF1381" s="17"/>
      <c r="AH1381" s="2"/>
      <c r="AL1381" s="17"/>
      <c r="AM1381" s="17"/>
      <c r="AN1381" s="17"/>
      <c r="AO1381" s="17"/>
      <c r="AP1381" s="17"/>
      <c r="AQ1381" s="17"/>
    </row>
    <row r="1382" spans="24:43" x14ac:dyDescent="0.45">
      <c r="X1382" s="2"/>
      <c r="Y1382" s="2"/>
      <c r="AC1382" s="13"/>
      <c r="AD1382" s="13"/>
      <c r="AE1382" s="13"/>
      <c r="AF1382" s="17"/>
      <c r="AH1382" s="2"/>
      <c r="AL1382" s="17"/>
      <c r="AM1382" s="17"/>
      <c r="AN1382" s="17"/>
      <c r="AO1382" s="17"/>
      <c r="AP1382" s="17"/>
      <c r="AQ1382" s="17"/>
    </row>
    <row r="1383" spans="24:43" x14ac:dyDescent="0.45">
      <c r="X1383" s="2"/>
      <c r="Y1383" s="2"/>
      <c r="AC1383" s="13"/>
      <c r="AD1383" s="13"/>
      <c r="AE1383" s="13"/>
      <c r="AF1383" s="17"/>
      <c r="AH1383" s="2"/>
      <c r="AL1383" s="17"/>
      <c r="AM1383" s="17"/>
      <c r="AN1383" s="17"/>
      <c r="AO1383" s="17"/>
      <c r="AP1383" s="17"/>
      <c r="AQ1383" s="17"/>
    </row>
    <row r="1384" spans="24:43" x14ac:dyDescent="0.45">
      <c r="X1384" s="2"/>
      <c r="Y1384" s="2"/>
      <c r="AC1384" s="13"/>
      <c r="AD1384" s="13"/>
      <c r="AE1384" s="13"/>
      <c r="AF1384" s="17"/>
      <c r="AH1384" s="2"/>
      <c r="AL1384" s="17"/>
      <c r="AM1384" s="17"/>
      <c r="AN1384" s="17"/>
      <c r="AO1384" s="17"/>
      <c r="AP1384" s="17"/>
      <c r="AQ1384" s="17"/>
    </row>
    <row r="1385" spans="24:43" x14ac:dyDescent="0.45">
      <c r="X1385" s="2"/>
      <c r="Y1385" s="2"/>
      <c r="AC1385" s="13"/>
      <c r="AD1385" s="13"/>
      <c r="AE1385" s="13"/>
      <c r="AF1385" s="17"/>
      <c r="AH1385" s="2"/>
      <c r="AL1385" s="17"/>
      <c r="AM1385" s="17"/>
      <c r="AN1385" s="17"/>
      <c r="AO1385" s="17"/>
      <c r="AP1385" s="17"/>
      <c r="AQ1385" s="17"/>
    </row>
    <row r="1386" spans="24:43" x14ac:dyDescent="0.45">
      <c r="X1386" s="2"/>
      <c r="Y1386" s="2"/>
      <c r="AC1386" s="13"/>
      <c r="AD1386" s="13"/>
      <c r="AE1386" s="13"/>
      <c r="AF1386" s="17"/>
      <c r="AH1386" s="2"/>
      <c r="AL1386" s="17"/>
      <c r="AM1386" s="17"/>
      <c r="AN1386" s="17"/>
      <c r="AO1386" s="17"/>
      <c r="AP1386" s="17"/>
      <c r="AQ1386" s="17"/>
    </row>
    <row r="1387" spans="24:43" x14ac:dyDescent="0.45">
      <c r="X1387" s="2"/>
      <c r="Y1387" s="2"/>
      <c r="AC1387" s="13"/>
      <c r="AD1387" s="13"/>
      <c r="AE1387" s="13"/>
      <c r="AF1387" s="17"/>
      <c r="AH1387" s="2"/>
      <c r="AL1387" s="17"/>
      <c r="AM1387" s="17"/>
      <c r="AN1387" s="17"/>
      <c r="AO1387" s="17"/>
      <c r="AP1387" s="17"/>
      <c r="AQ1387" s="17"/>
    </row>
    <row r="1388" spans="24:43" x14ac:dyDescent="0.45">
      <c r="X1388" s="2"/>
      <c r="Y1388" s="2"/>
      <c r="AC1388" s="13"/>
      <c r="AD1388" s="13"/>
      <c r="AE1388" s="13"/>
      <c r="AF1388" s="17"/>
      <c r="AH1388" s="2"/>
      <c r="AL1388" s="17"/>
      <c r="AM1388" s="17"/>
      <c r="AN1388" s="17"/>
      <c r="AO1388" s="17"/>
      <c r="AP1388" s="17"/>
      <c r="AQ1388" s="17"/>
    </row>
    <row r="1389" spans="24:43" x14ac:dyDescent="0.45">
      <c r="X1389" s="2"/>
      <c r="Y1389" s="2"/>
      <c r="AC1389" s="13"/>
      <c r="AD1389" s="13"/>
      <c r="AE1389" s="13"/>
      <c r="AF1389" s="17"/>
      <c r="AH1389" s="2"/>
      <c r="AL1389" s="17"/>
      <c r="AM1389" s="17"/>
      <c r="AN1389" s="17"/>
      <c r="AO1389" s="17"/>
      <c r="AP1389" s="17"/>
      <c r="AQ1389" s="17"/>
    </row>
    <row r="1390" spans="24:43" x14ac:dyDescent="0.45">
      <c r="X1390" s="2"/>
      <c r="Y1390" s="2"/>
      <c r="AC1390" s="13"/>
      <c r="AD1390" s="13"/>
      <c r="AE1390" s="13"/>
      <c r="AF1390" s="17"/>
      <c r="AH1390" s="2"/>
      <c r="AL1390" s="17"/>
      <c r="AM1390" s="17"/>
      <c r="AN1390" s="17"/>
      <c r="AO1390" s="17"/>
      <c r="AP1390" s="17"/>
      <c r="AQ1390" s="17"/>
    </row>
    <row r="1391" spans="24:43" x14ac:dyDescent="0.45">
      <c r="X1391" s="2"/>
      <c r="Y1391" s="2"/>
      <c r="AC1391" s="13"/>
      <c r="AD1391" s="13"/>
      <c r="AE1391" s="13"/>
      <c r="AF1391" s="17"/>
      <c r="AH1391" s="2"/>
      <c r="AL1391" s="17"/>
      <c r="AM1391" s="17"/>
      <c r="AN1391" s="17"/>
      <c r="AO1391" s="17"/>
      <c r="AP1391" s="17"/>
      <c r="AQ1391" s="17"/>
    </row>
    <row r="1392" spans="24:43" x14ac:dyDescent="0.45">
      <c r="X1392" s="2"/>
      <c r="Y1392" s="2"/>
      <c r="AC1392" s="13"/>
      <c r="AD1392" s="13"/>
      <c r="AE1392" s="13"/>
      <c r="AF1392" s="17"/>
      <c r="AH1392" s="2"/>
      <c r="AL1392" s="17"/>
      <c r="AM1392" s="17"/>
      <c r="AN1392" s="17"/>
      <c r="AO1392" s="17"/>
      <c r="AP1392" s="17"/>
      <c r="AQ1392" s="17"/>
    </row>
    <row r="1393" spans="24:43" x14ac:dyDescent="0.45">
      <c r="X1393" s="2"/>
      <c r="Y1393" s="2"/>
      <c r="AC1393" s="13"/>
      <c r="AD1393" s="13"/>
      <c r="AE1393" s="13"/>
      <c r="AF1393" s="17"/>
      <c r="AH1393" s="2"/>
      <c r="AL1393" s="17"/>
      <c r="AM1393" s="17"/>
      <c r="AN1393" s="17"/>
      <c r="AO1393" s="17"/>
      <c r="AP1393" s="17"/>
      <c r="AQ1393" s="17"/>
    </row>
    <row r="1394" spans="24:43" x14ac:dyDescent="0.45">
      <c r="X1394" s="2"/>
      <c r="Y1394" s="2"/>
      <c r="AC1394" s="13"/>
      <c r="AD1394" s="13"/>
      <c r="AE1394" s="13"/>
      <c r="AF1394" s="17"/>
      <c r="AH1394" s="2"/>
      <c r="AL1394" s="17"/>
      <c r="AM1394" s="17"/>
      <c r="AN1394" s="17"/>
      <c r="AO1394" s="17"/>
      <c r="AP1394" s="17"/>
      <c r="AQ1394" s="17"/>
    </row>
    <row r="1395" spans="24:43" x14ac:dyDescent="0.45">
      <c r="X1395" s="2"/>
      <c r="Y1395" s="2"/>
      <c r="AC1395" s="13"/>
      <c r="AD1395" s="13"/>
      <c r="AE1395" s="13"/>
      <c r="AF1395" s="17"/>
      <c r="AH1395" s="2"/>
      <c r="AL1395" s="17"/>
      <c r="AM1395" s="17"/>
      <c r="AN1395" s="17"/>
      <c r="AO1395" s="17"/>
      <c r="AP1395" s="17"/>
      <c r="AQ1395" s="17"/>
    </row>
    <row r="1396" spans="24:43" x14ac:dyDescent="0.45">
      <c r="X1396" s="2"/>
      <c r="Y1396" s="2"/>
      <c r="AC1396" s="13"/>
      <c r="AD1396" s="13"/>
      <c r="AE1396" s="13"/>
      <c r="AF1396" s="17"/>
      <c r="AH1396" s="2"/>
      <c r="AL1396" s="17"/>
      <c r="AM1396" s="17"/>
      <c r="AN1396" s="17"/>
      <c r="AO1396" s="17"/>
      <c r="AP1396" s="17"/>
      <c r="AQ1396" s="17"/>
    </row>
    <row r="1397" spans="24:43" x14ac:dyDescent="0.45">
      <c r="X1397" s="2"/>
      <c r="Y1397" s="2"/>
      <c r="AC1397" s="13"/>
      <c r="AD1397" s="13"/>
      <c r="AE1397" s="13"/>
      <c r="AF1397" s="17"/>
      <c r="AH1397" s="2"/>
      <c r="AL1397" s="17"/>
      <c r="AM1397" s="17"/>
      <c r="AN1397" s="17"/>
      <c r="AO1397" s="17"/>
      <c r="AP1397" s="17"/>
      <c r="AQ1397" s="17"/>
    </row>
    <row r="1398" spans="24:43" x14ac:dyDescent="0.45">
      <c r="X1398" s="2"/>
      <c r="Y1398" s="2"/>
      <c r="AC1398" s="13"/>
      <c r="AD1398" s="13"/>
      <c r="AE1398" s="13"/>
      <c r="AF1398" s="17"/>
      <c r="AH1398" s="2"/>
      <c r="AL1398" s="17"/>
      <c r="AM1398" s="17"/>
      <c r="AN1398" s="17"/>
      <c r="AO1398" s="17"/>
      <c r="AP1398" s="17"/>
      <c r="AQ1398" s="17"/>
    </row>
    <row r="1399" spans="24:43" x14ac:dyDescent="0.45">
      <c r="X1399" s="2"/>
      <c r="Y1399" s="2"/>
      <c r="AC1399" s="13"/>
      <c r="AD1399" s="13"/>
      <c r="AE1399" s="13"/>
      <c r="AF1399" s="17"/>
      <c r="AH1399" s="2"/>
      <c r="AL1399" s="17"/>
      <c r="AM1399" s="17"/>
      <c r="AN1399" s="17"/>
      <c r="AO1399" s="17"/>
      <c r="AP1399" s="17"/>
      <c r="AQ1399" s="17"/>
    </row>
    <row r="1400" spans="24:43" x14ac:dyDescent="0.45">
      <c r="X1400" s="2"/>
      <c r="Y1400" s="2"/>
      <c r="AC1400" s="13"/>
      <c r="AD1400" s="13"/>
      <c r="AE1400" s="13"/>
      <c r="AF1400" s="17"/>
      <c r="AH1400" s="2"/>
      <c r="AL1400" s="17"/>
      <c r="AM1400" s="17"/>
      <c r="AN1400" s="17"/>
      <c r="AO1400" s="17"/>
      <c r="AP1400" s="17"/>
      <c r="AQ1400" s="17"/>
    </row>
    <row r="1401" spans="24:43" x14ac:dyDescent="0.45">
      <c r="X1401" s="2"/>
      <c r="Y1401" s="2"/>
      <c r="AC1401" s="13"/>
      <c r="AD1401" s="13"/>
      <c r="AE1401" s="13"/>
      <c r="AF1401" s="17"/>
      <c r="AH1401" s="2"/>
      <c r="AL1401" s="17"/>
      <c r="AM1401" s="17"/>
      <c r="AN1401" s="17"/>
      <c r="AO1401" s="17"/>
      <c r="AP1401" s="17"/>
      <c r="AQ1401" s="17"/>
    </row>
    <row r="1402" spans="24:43" x14ac:dyDescent="0.45">
      <c r="X1402" s="2"/>
      <c r="Y1402" s="2"/>
      <c r="AC1402" s="13"/>
      <c r="AD1402" s="13"/>
      <c r="AE1402" s="13"/>
      <c r="AF1402" s="17"/>
      <c r="AH1402" s="2"/>
      <c r="AL1402" s="17"/>
      <c r="AM1402" s="17"/>
      <c r="AN1402" s="17"/>
      <c r="AO1402" s="17"/>
      <c r="AP1402" s="17"/>
      <c r="AQ1402" s="17"/>
    </row>
    <row r="1403" spans="24:43" x14ac:dyDescent="0.45">
      <c r="X1403" s="2"/>
      <c r="Y1403" s="2"/>
      <c r="AC1403" s="13"/>
      <c r="AD1403" s="13"/>
      <c r="AE1403" s="13"/>
      <c r="AF1403" s="17"/>
      <c r="AH1403" s="2"/>
      <c r="AL1403" s="17"/>
      <c r="AM1403" s="17"/>
      <c r="AN1403" s="17"/>
      <c r="AO1403" s="17"/>
      <c r="AP1403" s="17"/>
      <c r="AQ1403" s="17"/>
    </row>
    <row r="1404" spans="24:43" x14ac:dyDescent="0.45">
      <c r="X1404" s="2"/>
      <c r="Y1404" s="2"/>
      <c r="AC1404" s="13"/>
      <c r="AD1404" s="13"/>
      <c r="AE1404" s="13"/>
      <c r="AF1404" s="17"/>
      <c r="AH1404" s="2"/>
      <c r="AL1404" s="17"/>
      <c r="AM1404" s="17"/>
      <c r="AN1404" s="17"/>
      <c r="AO1404" s="17"/>
      <c r="AP1404" s="17"/>
      <c r="AQ1404" s="17"/>
    </row>
    <row r="1405" spans="24:43" x14ac:dyDescent="0.45">
      <c r="X1405" s="2"/>
      <c r="Y1405" s="2"/>
      <c r="AC1405" s="13"/>
      <c r="AD1405" s="13"/>
      <c r="AE1405" s="13"/>
      <c r="AF1405" s="17"/>
      <c r="AH1405" s="2"/>
      <c r="AL1405" s="17"/>
      <c r="AM1405" s="17"/>
      <c r="AN1405" s="17"/>
      <c r="AO1405" s="17"/>
      <c r="AP1405" s="17"/>
      <c r="AQ1405" s="17"/>
    </row>
    <row r="1406" spans="24:43" x14ac:dyDescent="0.45">
      <c r="X1406" s="2"/>
      <c r="Y1406" s="2"/>
      <c r="AC1406" s="13"/>
      <c r="AD1406" s="13"/>
      <c r="AE1406" s="13"/>
      <c r="AF1406" s="17"/>
      <c r="AH1406" s="2"/>
      <c r="AL1406" s="17"/>
      <c r="AM1406" s="17"/>
      <c r="AN1406" s="17"/>
      <c r="AO1406" s="17"/>
      <c r="AP1406" s="17"/>
      <c r="AQ1406" s="17"/>
    </row>
    <row r="1407" spans="24:43" x14ac:dyDescent="0.45">
      <c r="X1407" s="2"/>
      <c r="Y1407" s="2"/>
      <c r="AC1407" s="13"/>
      <c r="AD1407" s="13"/>
      <c r="AE1407" s="13"/>
      <c r="AF1407" s="17"/>
      <c r="AH1407" s="2"/>
      <c r="AL1407" s="17"/>
      <c r="AM1407" s="17"/>
      <c r="AN1407" s="17"/>
      <c r="AO1407" s="17"/>
      <c r="AP1407" s="17"/>
      <c r="AQ1407" s="17"/>
    </row>
    <row r="1408" spans="24:43" x14ac:dyDescent="0.45">
      <c r="X1408" s="2"/>
      <c r="Y1408" s="2"/>
      <c r="AC1408" s="13"/>
      <c r="AD1408" s="13"/>
      <c r="AE1408" s="13"/>
      <c r="AF1408" s="17"/>
      <c r="AH1408" s="2"/>
      <c r="AL1408" s="17"/>
      <c r="AM1408" s="17"/>
      <c r="AN1408" s="17"/>
      <c r="AO1408" s="17"/>
      <c r="AP1408" s="17"/>
      <c r="AQ1408" s="17"/>
    </row>
    <row r="1409" spans="24:43" x14ac:dyDescent="0.45">
      <c r="X1409" s="2"/>
      <c r="Y1409" s="2"/>
      <c r="AC1409" s="13"/>
      <c r="AD1409" s="13"/>
      <c r="AE1409" s="13"/>
      <c r="AF1409" s="17"/>
      <c r="AH1409" s="2"/>
      <c r="AL1409" s="17"/>
      <c r="AM1409" s="17"/>
      <c r="AN1409" s="17"/>
      <c r="AO1409" s="17"/>
      <c r="AP1409" s="17"/>
      <c r="AQ1409" s="17"/>
    </row>
    <row r="1410" spans="24:43" x14ac:dyDescent="0.45">
      <c r="X1410" s="2"/>
      <c r="Y1410" s="2"/>
      <c r="AC1410" s="13"/>
      <c r="AD1410" s="13"/>
      <c r="AE1410" s="13"/>
      <c r="AF1410" s="17"/>
      <c r="AH1410" s="2"/>
      <c r="AL1410" s="17"/>
      <c r="AM1410" s="17"/>
      <c r="AN1410" s="17"/>
      <c r="AO1410" s="17"/>
      <c r="AP1410" s="17"/>
      <c r="AQ1410" s="17"/>
    </row>
    <row r="1411" spans="24:43" x14ac:dyDescent="0.45">
      <c r="X1411" s="2"/>
      <c r="Y1411" s="2"/>
      <c r="AC1411" s="13"/>
      <c r="AD1411" s="13"/>
      <c r="AE1411" s="13"/>
      <c r="AF1411" s="17"/>
      <c r="AH1411" s="2"/>
      <c r="AL1411" s="17"/>
      <c r="AM1411" s="17"/>
      <c r="AN1411" s="17"/>
      <c r="AO1411" s="17"/>
      <c r="AP1411" s="17"/>
      <c r="AQ1411" s="17"/>
    </row>
    <row r="1412" spans="24:43" x14ac:dyDescent="0.45">
      <c r="X1412" s="2"/>
      <c r="Y1412" s="2"/>
      <c r="AC1412" s="13"/>
      <c r="AD1412" s="13"/>
      <c r="AE1412" s="13"/>
      <c r="AF1412" s="17"/>
      <c r="AH1412" s="2"/>
      <c r="AL1412" s="17"/>
      <c r="AM1412" s="17"/>
      <c r="AN1412" s="17"/>
      <c r="AO1412" s="17"/>
      <c r="AP1412" s="17"/>
      <c r="AQ1412" s="17"/>
    </row>
    <row r="1413" spans="24:43" x14ac:dyDescent="0.45">
      <c r="X1413" s="2"/>
      <c r="Y1413" s="2"/>
      <c r="AC1413" s="13"/>
      <c r="AD1413" s="13"/>
      <c r="AE1413" s="13"/>
      <c r="AF1413" s="17"/>
      <c r="AH1413" s="2"/>
      <c r="AL1413" s="17"/>
      <c r="AM1413" s="17"/>
      <c r="AN1413" s="17"/>
      <c r="AO1413" s="17"/>
      <c r="AP1413" s="17"/>
      <c r="AQ1413" s="17"/>
    </row>
    <row r="1414" spans="24:43" x14ac:dyDescent="0.45">
      <c r="X1414" s="2"/>
      <c r="Y1414" s="2"/>
      <c r="AC1414" s="13"/>
      <c r="AD1414" s="13"/>
      <c r="AE1414" s="13"/>
      <c r="AF1414" s="17"/>
      <c r="AH1414" s="2"/>
      <c r="AL1414" s="17"/>
      <c r="AM1414" s="17"/>
      <c r="AN1414" s="17"/>
      <c r="AO1414" s="17"/>
      <c r="AP1414" s="17"/>
      <c r="AQ1414" s="17"/>
    </row>
    <row r="1415" spans="24:43" x14ac:dyDescent="0.45">
      <c r="X1415" s="2"/>
      <c r="Y1415" s="2"/>
      <c r="AC1415" s="13"/>
      <c r="AD1415" s="13"/>
      <c r="AE1415" s="13"/>
      <c r="AF1415" s="17"/>
      <c r="AH1415" s="2"/>
      <c r="AL1415" s="17"/>
      <c r="AM1415" s="17"/>
      <c r="AN1415" s="17"/>
      <c r="AO1415" s="17"/>
      <c r="AP1415" s="17"/>
      <c r="AQ1415" s="17"/>
    </row>
    <row r="1416" spans="24:43" x14ac:dyDescent="0.45">
      <c r="X1416" s="2"/>
      <c r="Y1416" s="2"/>
      <c r="AC1416" s="13"/>
      <c r="AD1416" s="13"/>
      <c r="AE1416" s="13"/>
      <c r="AF1416" s="17"/>
      <c r="AH1416" s="2"/>
      <c r="AL1416" s="17"/>
      <c r="AM1416" s="17"/>
      <c r="AN1416" s="17"/>
      <c r="AO1416" s="17"/>
      <c r="AP1416" s="17"/>
      <c r="AQ1416" s="17"/>
    </row>
    <row r="1417" spans="24:43" x14ac:dyDescent="0.45">
      <c r="X1417" s="2"/>
      <c r="Y1417" s="2"/>
      <c r="AC1417" s="13"/>
      <c r="AD1417" s="13"/>
      <c r="AE1417" s="13"/>
      <c r="AF1417" s="17"/>
      <c r="AH1417" s="2"/>
      <c r="AL1417" s="17"/>
      <c r="AM1417" s="17"/>
      <c r="AN1417" s="17"/>
      <c r="AO1417" s="17"/>
      <c r="AP1417" s="17"/>
      <c r="AQ1417" s="17"/>
    </row>
    <row r="1418" spans="24:43" x14ac:dyDescent="0.45">
      <c r="X1418" s="2"/>
      <c r="Y1418" s="2"/>
      <c r="AC1418" s="13"/>
      <c r="AD1418" s="13"/>
      <c r="AE1418" s="13"/>
      <c r="AF1418" s="17"/>
      <c r="AH1418" s="2"/>
      <c r="AL1418" s="17"/>
      <c r="AM1418" s="17"/>
      <c r="AN1418" s="17"/>
      <c r="AO1418" s="17"/>
      <c r="AP1418" s="17"/>
      <c r="AQ1418" s="17"/>
    </row>
    <row r="1419" spans="24:43" x14ac:dyDescent="0.45">
      <c r="X1419" s="2"/>
      <c r="Y1419" s="2"/>
      <c r="AC1419" s="13"/>
      <c r="AD1419" s="13"/>
      <c r="AE1419" s="13"/>
      <c r="AF1419" s="17"/>
      <c r="AH1419" s="2"/>
      <c r="AL1419" s="17"/>
      <c r="AM1419" s="17"/>
      <c r="AN1419" s="17"/>
      <c r="AO1419" s="17"/>
      <c r="AP1419" s="17"/>
      <c r="AQ1419" s="17"/>
    </row>
    <row r="1420" spans="24:43" x14ac:dyDescent="0.45">
      <c r="X1420" s="2"/>
      <c r="Y1420" s="2"/>
      <c r="AC1420" s="13"/>
      <c r="AD1420" s="13"/>
      <c r="AE1420" s="13"/>
      <c r="AF1420" s="17"/>
      <c r="AH1420" s="2"/>
      <c r="AL1420" s="17"/>
      <c r="AM1420" s="17"/>
      <c r="AN1420" s="17"/>
      <c r="AO1420" s="17"/>
      <c r="AP1420" s="17"/>
      <c r="AQ1420" s="17"/>
    </row>
    <row r="1421" spans="24:43" x14ac:dyDescent="0.45">
      <c r="X1421" s="2"/>
      <c r="Y1421" s="2"/>
      <c r="AC1421" s="13"/>
      <c r="AD1421" s="13"/>
      <c r="AE1421" s="13"/>
      <c r="AF1421" s="17"/>
      <c r="AH1421" s="2"/>
      <c r="AL1421" s="17"/>
      <c r="AM1421" s="17"/>
      <c r="AN1421" s="17"/>
      <c r="AO1421" s="17"/>
      <c r="AP1421" s="17"/>
      <c r="AQ1421" s="17"/>
    </row>
    <row r="1422" spans="24:43" x14ac:dyDescent="0.45">
      <c r="X1422" s="2"/>
      <c r="Y1422" s="2"/>
      <c r="AC1422" s="13"/>
      <c r="AD1422" s="13"/>
      <c r="AE1422" s="13"/>
      <c r="AF1422" s="17"/>
      <c r="AH1422" s="2"/>
      <c r="AL1422" s="17"/>
      <c r="AM1422" s="17"/>
      <c r="AN1422" s="17"/>
      <c r="AO1422" s="17"/>
      <c r="AP1422" s="17"/>
      <c r="AQ1422" s="17"/>
    </row>
    <row r="1423" spans="24:43" x14ac:dyDescent="0.45">
      <c r="X1423" s="2"/>
      <c r="Y1423" s="2"/>
      <c r="AC1423" s="13"/>
      <c r="AD1423" s="13"/>
      <c r="AE1423" s="13"/>
      <c r="AF1423" s="17"/>
      <c r="AH1423" s="2"/>
      <c r="AL1423" s="17"/>
      <c r="AM1423" s="17"/>
      <c r="AN1423" s="17"/>
      <c r="AO1423" s="17"/>
      <c r="AP1423" s="17"/>
      <c r="AQ1423" s="17"/>
    </row>
    <row r="1424" spans="24:43" x14ac:dyDescent="0.45">
      <c r="X1424" s="2"/>
      <c r="Y1424" s="2"/>
      <c r="AC1424" s="13"/>
      <c r="AD1424" s="13"/>
      <c r="AE1424" s="13"/>
      <c r="AF1424" s="17"/>
      <c r="AH1424" s="2"/>
      <c r="AL1424" s="17"/>
      <c r="AM1424" s="17"/>
      <c r="AN1424" s="17"/>
      <c r="AO1424" s="17"/>
      <c r="AP1424" s="17"/>
      <c r="AQ1424" s="17"/>
    </row>
    <row r="1425" spans="24:43" x14ac:dyDescent="0.45">
      <c r="X1425" s="2"/>
      <c r="Y1425" s="2"/>
      <c r="AC1425" s="13"/>
      <c r="AD1425" s="13"/>
      <c r="AE1425" s="13"/>
      <c r="AF1425" s="17"/>
      <c r="AH1425" s="2"/>
      <c r="AL1425" s="17"/>
      <c r="AM1425" s="17"/>
      <c r="AN1425" s="17"/>
      <c r="AO1425" s="17"/>
      <c r="AP1425" s="17"/>
      <c r="AQ1425" s="17"/>
    </row>
    <row r="1426" spans="24:43" x14ac:dyDescent="0.45">
      <c r="X1426" s="2"/>
      <c r="Y1426" s="2"/>
      <c r="AC1426" s="13"/>
      <c r="AD1426" s="13"/>
      <c r="AE1426" s="13"/>
      <c r="AF1426" s="17"/>
      <c r="AH1426" s="2"/>
      <c r="AL1426" s="17"/>
      <c r="AM1426" s="17"/>
      <c r="AN1426" s="17"/>
      <c r="AO1426" s="17"/>
      <c r="AP1426" s="17"/>
      <c r="AQ1426" s="17"/>
    </row>
    <row r="1427" spans="24:43" x14ac:dyDescent="0.45">
      <c r="X1427" s="2"/>
      <c r="Y1427" s="2"/>
      <c r="AC1427" s="13"/>
      <c r="AD1427" s="13"/>
      <c r="AE1427" s="13"/>
      <c r="AF1427" s="17"/>
      <c r="AH1427" s="2"/>
      <c r="AL1427" s="17"/>
      <c r="AM1427" s="17"/>
      <c r="AN1427" s="17"/>
      <c r="AO1427" s="17"/>
      <c r="AP1427" s="17"/>
      <c r="AQ1427" s="17"/>
    </row>
    <row r="1428" spans="24:43" x14ac:dyDescent="0.45">
      <c r="X1428" s="2"/>
      <c r="Y1428" s="2"/>
      <c r="AC1428" s="13"/>
      <c r="AD1428" s="13"/>
      <c r="AE1428" s="13"/>
      <c r="AF1428" s="17"/>
      <c r="AH1428" s="2"/>
      <c r="AL1428" s="17"/>
      <c r="AM1428" s="17"/>
      <c r="AN1428" s="17"/>
      <c r="AO1428" s="17"/>
      <c r="AP1428" s="17"/>
      <c r="AQ1428" s="17"/>
    </row>
    <row r="1429" spans="24:43" x14ac:dyDescent="0.45">
      <c r="X1429" s="2"/>
      <c r="Y1429" s="2"/>
      <c r="AC1429" s="13"/>
      <c r="AD1429" s="13"/>
      <c r="AE1429" s="13"/>
      <c r="AF1429" s="17"/>
      <c r="AH1429" s="2"/>
      <c r="AL1429" s="17"/>
      <c r="AM1429" s="17"/>
      <c r="AN1429" s="17"/>
      <c r="AO1429" s="17"/>
      <c r="AP1429" s="17"/>
      <c r="AQ1429" s="17"/>
    </row>
    <row r="1430" spans="24:43" x14ac:dyDescent="0.45">
      <c r="X1430" s="2"/>
      <c r="Y1430" s="2"/>
      <c r="AC1430" s="13"/>
      <c r="AD1430" s="13"/>
      <c r="AE1430" s="13"/>
      <c r="AF1430" s="17"/>
      <c r="AH1430" s="2"/>
      <c r="AL1430" s="17"/>
      <c r="AM1430" s="17"/>
      <c r="AN1430" s="17"/>
      <c r="AO1430" s="17"/>
      <c r="AP1430" s="17"/>
      <c r="AQ1430" s="17"/>
    </row>
    <row r="1431" spans="24:43" x14ac:dyDescent="0.45">
      <c r="X1431" s="2"/>
      <c r="Y1431" s="2"/>
      <c r="AC1431" s="13"/>
      <c r="AD1431" s="13"/>
      <c r="AE1431" s="13"/>
      <c r="AF1431" s="17"/>
      <c r="AH1431" s="2"/>
      <c r="AL1431" s="17"/>
      <c r="AM1431" s="17"/>
      <c r="AN1431" s="17"/>
      <c r="AO1431" s="17"/>
      <c r="AP1431" s="17"/>
      <c r="AQ1431" s="17"/>
    </row>
    <row r="1432" spans="24:43" x14ac:dyDescent="0.45">
      <c r="X1432" s="2"/>
      <c r="Y1432" s="2"/>
      <c r="AC1432" s="13"/>
      <c r="AD1432" s="13"/>
      <c r="AE1432" s="13"/>
      <c r="AF1432" s="17"/>
      <c r="AH1432" s="2"/>
      <c r="AL1432" s="17"/>
      <c r="AM1432" s="17"/>
      <c r="AN1432" s="17"/>
      <c r="AO1432" s="17"/>
      <c r="AP1432" s="17"/>
      <c r="AQ1432" s="17"/>
    </row>
    <row r="1433" spans="24:43" x14ac:dyDescent="0.45">
      <c r="X1433" s="2"/>
      <c r="Y1433" s="2"/>
      <c r="AC1433" s="13"/>
      <c r="AD1433" s="13"/>
      <c r="AE1433" s="13"/>
      <c r="AF1433" s="17"/>
      <c r="AH1433" s="2"/>
      <c r="AL1433" s="17"/>
      <c r="AM1433" s="17"/>
      <c r="AN1433" s="17"/>
      <c r="AO1433" s="17"/>
      <c r="AP1433" s="17"/>
      <c r="AQ1433" s="17"/>
    </row>
    <row r="1434" spans="24:43" x14ac:dyDescent="0.45">
      <c r="X1434" s="2"/>
      <c r="Y1434" s="2"/>
      <c r="AC1434" s="13"/>
      <c r="AD1434" s="13"/>
      <c r="AE1434" s="13"/>
      <c r="AF1434" s="17"/>
      <c r="AH1434" s="2"/>
      <c r="AL1434" s="17"/>
      <c r="AM1434" s="17"/>
      <c r="AN1434" s="17"/>
      <c r="AO1434" s="17"/>
      <c r="AP1434" s="17"/>
      <c r="AQ1434" s="17"/>
    </row>
    <row r="1435" spans="24:43" x14ac:dyDescent="0.45">
      <c r="X1435" s="2"/>
      <c r="Y1435" s="2"/>
      <c r="AC1435" s="13"/>
      <c r="AD1435" s="13"/>
      <c r="AE1435" s="13"/>
      <c r="AF1435" s="17"/>
      <c r="AH1435" s="2"/>
      <c r="AL1435" s="17"/>
      <c r="AM1435" s="17"/>
      <c r="AN1435" s="17"/>
      <c r="AO1435" s="17"/>
      <c r="AP1435" s="17"/>
      <c r="AQ1435" s="17"/>
    </row>
    <row r="1436" spans="24:43" x14ac:dyDescent="0.45">
      <c r="X1436" s="2"/>
      <c r="Y1436" s="2"/>
      <c r="AC1436" s="13"/>
      <c r="AD1436" s="13"/>
      <c r="AE1436" s="13"/>
      <c r="AF1436" s="17"/>
      <c r="AH1436" s="2"/>
      <c r="AL1436" s="17"/>
      <c r="AM1436" s="17"/>
      <c r="AN1436" s="17"/>
      <c r="AO1436" s="17"/>
      <c r="AP1436" s="17"/>
      <c r="AQ1436" s="17"/>
    </row>
    <row r="1437" spans="24:43" x14ac:dyDescent="0.45">
      <c r="X1437" s="2"/>
      <c r="Y1437" s="2"/>
      <c r="AC1437" s="13"/>
      <c r="AD1437" s="13"/>
      <c r="AE1437" s="13"/>
      <c r="AF1437" s="17"/>
      <c r="AH1437" s="2"/>
      <c r="AL1437" s="17"/>
      <c r="AM1437" s="17"/>
      <c r="AN1437" s="17"/>
      <c r="AO1437" s="17"/>
      <c r="AP1437" s="17"/>
      <c r="AQ1437" s="17"/>
    </row>
    <row r="1438" spans="24:43" x14ac:dyDescent="0.45">
      <c r="X1438" s="2"/>
      <c r="Y1438" s="2"/>
      <c r="AC1438" s="13"/>
      <c r="AD1438" s="13"/>
      <c r="AE1438" s="13"/>
      <c r="AF1438" s="17"/>
      <c r="AH1438" s="2"/>
      <c r="AL1438" s="17"/>
      <c r="AM1438" s="17"/>
      <c r="AN1438" s="17"/>
      <c r="AO1438" s="17"/>
      <c r="AP1438" s="17"/>
      <c r="AQ1438" s="17"/>
    </row>
    <row r="1439" spans="24:43" x14ac:dyDescent="0.45">
      <c r="X1439" s="2"/>
      <c r="Y1439" s="2"/>
      <c r="AC1439" s="13"/>
      <c r="AD1439" s="13"/>
      <c r="AE1439" s="13"/>
      <c r="AF1439" s="17"/>
      <c r="AH1439" s="2"/>
      <c r="AL1439" s="17"/>
      <c r="AM1439" s="17"/>
      <c r="AN1439" s="17"/>
      <c r="AO1439" s="17"/>
      <c r="AP1439" s="17"/>
      <c r="AQ1439" s="17"/>
    </row>
    <row r="1440" spans="24:43" x14ac:dyDescent="0.45">
      <c r="X1440" s="2"/>
      <c r="Y1440" s="2"/>
      <c r="AC1440" s="13"/>
      <c r="AD1440" s="13"/>
      <c r="AE1440" s="13"/>
      <c r="AF1440" s="17"/>
      <c r="AH1440" s="2"/>
      <c r="AL1440" s="17"/>
      <c r="AM1440" s="17"/>
      <c r="AN1440" s="17"/>
      <c r="AO1440" s="17"/>
      <c r="AP1440" s="17"/>
      <c r="AQ1440" s="17"/>
    </row>
    <row r="1441" spans="24:43" x14ac:dyDescent="0.45">
      <c r="X1441" s="2"/>
      <c r="Y1441" s="2"/>
      <c r="AC1441" s="13"/>
      <c r="AD1441" s="13"/>
      <c r="AE1441" s="13"/>
      <c r="AF1441" s="17"/>
      <c r="AH1441" s="2"/>
      <c r="AL1441" s="17"/>
      <c r="AM1441" s="17"/>
      <c r="AN1441" s="17"/>
      <c r="AO1441" s="17"/>
      <c r="AP1441" s="17"/>
      <c r="AQ1441" s="17"/>
    </row>
    <row r="1442" spans="24:43" x14ac:dyDescent="0.45">
      <c r="X1442" s="2"/>
      <c r="Y1442" s="2"/>
      <c r="AC1442" s="13"/>
      <c r="AD1442" s="13"/>
      <c r="AE1442" s="13"/>
      <c r="AF1442" s="17"/>
      <c r="AH1442" s="2"/>
      <c r="AL1442" s="17"/>
      <c r="AM1442" s="17"/>
      <c r="AN1442" s="17"/>
      <c r="AO1442" s="17"/>
      <c r="AP1442" s="17"/>
      <c r="AQ1442" s="17"/>
    </row>
    <row r="1443" spans="24:43" x14ac:dyDescent="0.45">
      <c r="X1443" s="2"/>
      <c r="Y1443" s="2"/>
      <c r="AC1443" s="13"/>
      <c r="AD1443" s="13"/>
      <c r="AE1443" s="13"/>
      <c r="AF1443" s="17"/>
      <c r="AH1443" s="2"/>
      <c r="AL1443" s="17"/>
      <c r="AM1443" s="17"/>
      <c r="AN1443" s="17"/>
      <c r="AO1443" s="17"/>
      <c r="AP1443" s="17"/>
      <c r="AQ1443" s="17"/>
    </row>
    <row r="1444" spans="24:43" x14ac:dyDescent="0.45">
      <c r="X1444" s="2"/>
      <c r="Y1444" s="2"/>
      <c r="AC1444" s="13"/>
      <c r="AD1444" s="13"/>
      <c r="AE1444" s="13"/>
      <c r="AF1444" s="17"/>
      <c r="AH1444" s="2"/>
      <c r="AL1444" s="17"/>
      <c r="AM1444" s="17"/>
      <c r="AN1444" s="17"/>
      <c r="AO1444" s="17"/>
      <c r="AP1444" s="17"/>
      <c r="AQ1444" s="17"/>
    </row>
    <row r="1445" spans="24:43" x14ac:dyDescent="0.45">
      <c r="X1445" s="2"/>
      <c r="Y1445" s="2"/>
      <c r="AC1445" s="13"/>
      <c r="AD1445" s="13"/>
      <c r="AE1445" s="13"/>
      <c r="AF1445" s="17"/>
      <c r="AH1445" s="2"/>
      <c r="AL1445" s="17"/>
      <c r="AM1445" s="17"/>
      <c r="AN1445" s="17"/>
      <c r="AO1445" s="17"/>
      <c r="AP1445" s="17"/>
      <c r="AQ1445" s="17"/>
    </row>
    <row r="1446" spans="24:43" x14ac:dyDescent="0.45">
      <c r="X1446" s="2"/>
      <c r="Y1446" s="2"/>
      <c r="AC1446" s="13"/>
      <c r="AD1446" s="13"/>
      <c r="AE1446" s="13"/>
      <c r="AF1446" s="17"/>
      <c r="AH1446" s="2"/>
      <c r="AL1446" s="17"/>
      <c r="AM1446" s="17"/>
      <c r="AN1446" s="17"/>
      <c r="AO1446" s="17"/>
      <c r="AP1446" s="17"/>
      <c r="AQ1446" s="17"/>
    </row>
    <row r="1447" spans="24:43" x14ac:dyDescent="0.45">
      <c r="X1447" s="2"/>
      <c r="Y1447" s="2"/>
      <c r="AC1447" s="13"/>
      <c r="AD1447" s="13"/>
      <c r="AE1447" s="13"/>
      <c r="AF1447" s="17"/>
      <c r="AH1447" s="2"/>
      <c r="AL1447" s="17"/>
      <c r="AM1447" s="17"/>
      <c r="AN1447" s="17"/>
      <c r="AO1447" s="17"/>
      <c r="AP1447" s="17"/>
      <c r="AQ1447" s="17"/>
    </row>
    <row r="1448" spans="24:43" x14ac:dyDescent="0.45">
      <c r="X1448" s="2"/>
      <c r="Y1448" s="2"/>
      <c r="AC1448" s="13"/>
      <c r="AD1448" s="13"/>
      <c r="AE1448" s="13"/>
      <c r="AF1448" s="17"/>
      <c r="AH1448" s="2"/>
      <c r="AL1448" s="17"/>
      <c r="AM1448" s="17"/>
      <c r="AN1448" s="17"/>
      <c r="AO1448" s="17"/>
      <c r="AP1448" s="17"/>
      <c r="AQ1448" s="17"/>
    </row>
    <row r="1449" spans="24:43" x14ac:dyDescent="0.45">
      <c r="X1449" s="2"/>
      <c r="Y1449" s="2"/>
      <c r="AC1449" s="13"/>
      <c r="AD1449" s="13"/>
      <c r="AE1449" s="13"/>
      <c r="AF1449" s="17"/>
      <c r="AH1449" s="2"/>
      <c r="AL1449" s="17"/>
      <c r="AM1449" s="17"/>
      <c r="AN1449" s="17"/>
      <c r="AO1449" s="17"/>
      <c r="AP1449" s="17"/>
      <c r="AQ1449" s="17"/>
    </row>
    <row r="1450" spans="24:43" x14ac:dyDescent="0.45">
      <c r="X1450" s="2"/>
      <c r="Y1450" s="2"/>
      <c r="AC1450" s="13"/>
      <c r="AD1450" s="13"/>
      <c r="AE1450" s="13"/>
      <c r="AF1450" s="17"/>
      <c r="AH1450" s="2"/>
      <c r="AL1450" s="17"/>
      <c r="AM1450" s="17"/>
      <c r="AN1450" s="17"/>
      <c r="AO1450" s="17"/>
      <c r="AP1450" s="17"/>
      <c r="AQ1450" s="17"/>
    </row>
    <row r="1451" spans="24:43" x14ac:dyDescent="0.45">
      <c r="X1451" s="2"/>
      <c r="Y1451" s="2"/>
      <c r="AC1451" s="13"/>
      <c r="AD1451" s="13"/>
      <c r="AE1451" s="13"/>
      <c r="AF1451" s="17"/>
      <c r="AH1451" s="2"/>
      <c r="AL1451" s="17"/>
      <c r="AM1451" s="17"/>
      <c r="AN1451" s="17"/>
      <c r="AO1451" s="17"/>
      <c r="AP1451" s="17"/>
      <c r="AQ1451" s="17"/>
    </row>
    <row r="1452" spans="24:43" x14ac:dyDescent="0.45">
      <c r="X1452" s="2"/>
      <c r="Y1452" s="2"/>
      <c r="AC1452" s="13"/>
      <c r="AD1452" s="13"/>
      <c r="AE1452" s="13"/>
      <c r="AF1452" s="17"/>
      <c r="AH1452" s="2"/>
      <c r="AL1452" s="17"/>
      <c r="AM1452" s="17"/>
      <c r="AN1452" s="17"/>
      <c r="AO1452" s="17"/>
      <c r="AP1452" s="17"/>
      <c r="AQ1452" s="17"/>
    </row>
    <row r="1453" spans="24:43" x14ac:dyDescent="0.45">
      <c r="X1453" s="2"/>
      <c r="Y1453" s="2"/>
      <c r="AC1453" s="13"/>
      <c r="AD1453" s="13"/>
      <c r="AE1453" s="13"/>
      <c r="AF1453" s="17"/>
      <c r="AH1453" s="2"/>
      <c r="AL1453" s="17"/>
      <c r="AM1453" s="17"/>
      <c r="AN1453" s="17"/>
      <c r="AO1453" s="17"/>
      <c r="AP1453" s="17"/>
      <c r="AQ1453" s="17"/>
    </row>
    <row r="1454" spans="24:43" x14ac:dyDescent="0.45">
      <c r="X1454" s="2"/>
      <c r="Y1454" s="2"/>
      <c r="AC1454" s="13"/>
      <c r="AD1454" s="13"/>
      <c r="AE1454" s="13"/>
      <c r="AF1454" s="17"/>
      <c r="AH1454" s="2"/>
      <c r="AL1454" s="17"/>
      <c r="AM1454" s="17"/>
      <c r="AN1454" s="17"/>
      <c r="AO1454" s="17"/>
      <c r="AP1454" s="17"/>
      <c r="AQ1454" s="17"/>
    </row>
    <row r="1455" spans="24:43" x14ac:dyDescent="0.45">
      <c r="X1455" s="2"/>
      <c r="Y1455" s="2"/>
      <c r="AC1455" s="13"/>
      <c r="AD1455" s="13"/>
      <c r="AE1455" s="13"/>
      <c r="AF1455" s="17"/>
      <c r="AH1455" s="2"/>
      <c r="AL1455" s="17"/>
      <c r="AM1455" s="17"/>
      <c r="AN1455" s="17"/>
      <c r="AO1455" s="17"/>
      <c r="AP1455" s="17"/>
      <c r="AQ1455" s="17"/>
    </row>
    <row r="1456" spans="24:43" x14ac:dyDescent="0.45">
      <c r="X1456" s="2"/>
      <c r="Y1456" s="2"/>
      <c r="AC1456" s="13"/>
      <c r="AD1456" s="13"/>
      <c r="AE1456" s="13"/>
      <c r="AF1456" s="17"/>
      <c r="AH1456" s="2"/>
      <c r="AL1456" s="17"/>
      <c r="AM1456" s="17"/>
      <c r="AN1456" s="17"/>
      <c r="AO1456" s="17"/>
      <c r="AP1456" s="17"/>
      <c r="AQ1456" s="17"/>
    </row>
    <row r="1457" spans="24:43" x14ac:dyDescent="0.45">
      <c r="X1457" s="2"/>
      <c r="Y1457" s="2"/>
      <c r="AC1457" s="13"/>
      <c r="AD1457" s="13"/>
      <c r="AE1457" s="13"/>
      <c r="AF1457" s="17"/>
      <c r="AH1457" s="2"/>
      <c r="AL1457" s="17"/>
      <c r="AM1457" s="17"/>
      <c r="AN1457" s="17"/>
      <c r="AO1457" s="17"/>
      <c r="AP1457" s="17"/>
      <c r="AQ1457" s="17"/>
    </row>
    <row r="1458" spans="24:43" x14ac:dyDescent="0.45">
      <c r="X1458" s="2"/>
      <c r="Y1458" s="2"/>
      <c r="AC1458" s="13"/>
      <c r="AD1458" s="13"/>
      <c r="AE1458" s="13"/>
      <c r="AF1458" s="17"/>
      <c r="AH1458" s="2"/>
      <c r="AL1458" s="17"/>
      <c r="AM1458" s="17"/>
      <c r="AN1458" s="17"/>
      <c r="AO1458" s="17"/>
      <c r="AP1458" s="17"/>
      <c r="AQ1458" s="17"/>
    </row>
    <row r="1459" spans="24:43" x14ac:dyDescent="0.45">
      <c r="X1459" s="2"/>
      <c r="Y1459" s="2"/>
      <c r="AC1459" s="13"/>
      <c r="AD1459" s="13"/>
      <c r="AE1459" s="13"/>
      <c r="AF1459" s="17"/>
      <c r="AH1459" s="2"/>
      <c r="AL1459" s="17"/>
      <c r="AM1459" s="17"/>
      <c r="AN1459" s="17"/>
      <c r="AO1459" s="17"/>
      <c r="AP1459" s="17"/>
      <c r="AQ1459" s="17"/>
    </row>
    <row r="1460" spans="24:43" x14ac:dyDescent="0.45">
      <c r="X1460" s="2"/>
      <c r="Y1460" s="2"/>
      <c r="AC1460" s="13"/>
      <c r="AD1460" s="13"/>
      <c r="AE1460" s="13"/>
      <c r="AF1460" s="17"/>
      <c r="AH1460" s="2"/>
      <c r="AL1460" s="17"/>
      <c r="AM1460" s="17"/>
      <c r="AN1460" s="17"/>
      <c r="AO1460" s="17"/>
      <c r="AP1460" s="17"/>
      <c r="AQ1460" s="17"/>
    </row>
    <row r="1461" spans="24:43" x14ac:dyDescent="0.45">
      <c r="X1461" s="2"/>
      <c r="Y1461" s="2"/>
      <c r="AC1461" s="13"/>
      <c r="AD1461" s="13"/>
      <c r="AE1461" s="13"/>
      <c r="AF1461" s="17"/>
      <c r="AH1461" s="2"/>
      <c r="AL1461" s="17"/>
      <c r="AM1461" s="17"/>
      <c r="AN1461" s="17"/>
      <c r="AO1461" s="17"/>
      <c r="AP1461" s="17"/>
      <c r="AQ1461" s="17"/>
    </row>
    <row r="1462" spans="24:43" x14ac:dyDescent="0.45">
      <c r="X1462" s="2"/>
      <c r="Y1462" s="2"/>
      <c r="AC1462" s="13"/>
      <c r="AD1462" s="13"/>
      <c r="AE1462" s="13"/>
      <c r="AF1462" s="17"/>
      <c r="AH1462" s="2"/>
      <c r="AL1462" s="17"/>
      <c r="AM1462" s="17"/>
      <c r="AN1462" s="17"/>
      <c r="AO1462" s="17"/>
      <c r="AP1462" s="17"/>
      <c r="AQ1462" s="17"/>
    </row>
    <row r="1463" spans="24:43" x14ac:dyDescent="0.45">
      <c r="X1463" s="2"/>
      <c r="Y1463" s="2"/>
      <c r="AC1463" s="13"/>
      <c r="AD1463" s="13"/>
      <c r="AE1463" s="13"/>
      <c r="AF1463" s="17"/>
      <c r="AH1463" s="2"/>
      <c r="AL1463" s="17"/>
      <c r="AM1463" s="17"/>
      <c r="AN1463" s="17"/>
      <c r="AO1463" s="17"/>
      <c r="AP1463" s="17"/>
      <c r="AQ1463" s="17"/>
    </row>
    <row r="1464" spans="24:43" x14ac:dyDescent="0.45">
      <c r="X1464" s="2"/>
      <c r="Y1464" s="2"/>
      <c r="AC1464" s="13"/>
      <c r="AD1464" s="13"/>
      <c r="AE1464" s="13"/>
      <c r="AF1464" s="17"/>
      <c r="AH1464" s="2"/>
      <c r="AL1464" s="17"/>
      <c r="AM1464" s="17"/>
      <c r="AN1464" s="17"/>
      <c r="AO1464" s="17"/>
      <c r="AP1464" s="17"/>
      <c r="AQ1464" s="17"/>
    </row>
    <row r="1465" spans="24:43" x14ac:dyDescent="0.45">
      <c r="X1465" s="2"/>
      <c r="Y1465" s="2"/>
      <c r="AC1465" s="13"/>
      <c r="AD1465" s="13"/>
      <c r="AE1465" s="13"/>
      <c r="AF1465" s="17"/>
      <c r="AH1465" s="2"/>
      <c r="AL1465" s="17"/>
      <c r="AM1465" s="17"/>
      <c r="AN1465" s="17"/>
      <c r="AO1465" s="17"/>
      <c r="AP1465" s="17"/>
      <c r="AQ1465" s="17"/>
    </row>
    <row r="1466" spans="24:43" x14ac:dyDescent="0.45">
      <c r="X1466" s="2"/>
      <c r="Y1466" s="2"/>
      <c r="AC1466" s="13"/>
      <c r="AD1466" s="13"/>
      <c r="AE1466" s="13"/>
      <c r="AF1466" s="17"/>
      <c r="AH1466" s="2"/>
      <c r="AL1466" s="17"/>
      <c r="AM1466" s="17"/>
      <c r="AN1466" s="17"/>
      <c r="AO1466" s="17"/>
      <c r="AP1466" s="17"/>
      <c r="AQ1466" s="17"/>
    </row>
    <row r="1467" spans="24:43" x14ac:dyDescent="0.45">
      <c r="X1467" s="2"/>
      <c r="Y1467" s="2"/>
      <c r="AC1467" s="13"/>
      <c r="AD1467" s="13"/>
      <c r="AE1467" s="13"/>
      <c r="AF1467" s="17"/>
      <c r="AH1467" s="2"/>
      <c r="AL1467" s="17"/>
      <c r="AM1467" s="17"/>
      <c r="AN1467" s="17"/>
      <c r="AO1467" s="17"/>
      <c r="AP1467" s="17"/>
      <c r="AQ1467" s="17"/>
    </row>
    <row r="1468" spans="24:43" x14ac:dyDescent="0.45">
      <c r="X1468" s="2"/>
      <c r="Y1468" s="2"/>
      <c r="AC1468" s="13"/>
      <c r="AD1468" s="13"/>
      <c r="AE1468" s="13"/>
      <c r="AF1468" s="17"/>
      <c r="AH1468" s="2"/>
      <c r="AL1468" s="17"/>
      <c r="AM1468" s="17"/>
      <c r="AN1468" s="17"/>
      <c r="AO1468" s="17"/>
      <c r="AP1468" s="17"/>
      <c r="AQ1468" s="17"/>
    </row>
    <row r="1469" spans="24:43" x14ac:dyDescent="0.45">
      <c r="X1469" s="2"/>
      <c r="Y1469" s="2"/>
      <c r="AC1469" s="13"/>
      <c r="AD1469" s="13"/>
      <c r="AE1469" s="13"/>
      <c r="AF1469" s="17"/>
      <c r="AH1469" s="2"/>
      <c r="AL1469" s="17"/>
      <c r="AM1469" s="17"/>
      <c r="AN1469" s="17"/>
      <c r="AO1469" s="17"/>
      <c r="AP1469" s="17"/>
      <c r="AQ1469" s="17"/>
    </row>
    <row r="1470" spans="24:43" x14ac:dyDescent="0.45">
      <c r="X1470" s="2"/>
      <c r="Y1470" s="2"/>
      <c r="AC1470" s="13"/>
      <c r="AD1470" s="13"/>
      <c r="AE1470" s="13"/>
      <c r="AF1470" s="17"/>
      <c r="AH1470" s="2"/>
      <c r="AL1470" s="17"/>
      <c r="AM1470" s="17"/>
      <c r="AN1470" s="17"/>
      <c r="AO1470" s="17"/>
      <c r="AP1470" s="17"/>
      <c r="AQ1470" s="17"/>
    </row>
    <row r="1471" spans="24:43" x14ac:dyDescent="0.45">
      <c r="X1471" s="2"/>
      <c r="Y1471" s="2"/>
      <c r="AC1471" s="13"/>
      <c r="AD1471" s="13"/>
      <c r="AE1471" s="13"/>
      <c r="AF1471" s="17"/>
      <c r="AH1471" s="2"/>
      <c r="AL1471" s="17"/>
      <c r="AM1471" s="17"/>
      <c r="AN1471" s="17"/>
      <c r="AO1471" s="17"/>
      <c r="AP1471" s="17"/>
      <c r="AQ1471" s="17"/>
    </row>
    <row r="1472" spans="24:43" x14ac:dyDescent="0.45">
      <c r="X1472" s="2"/>
      <c r="Y1472" s="2"/>
      <c r="AC1472" s="13"/>
      <c r="AD1472" s="13"/>
      <c r="AE1472" s="13"/>
      <c r="AF1472" s="17"/>
      <c r="AH1472" s="2"/>
      <c r="AL1472" s="17"/>
      <c r="AM1472" s="17"/>
      <c r="AN1472" s="17"/>
      <c r="AO1472" s="17"/>
      <c r="AP1472" s="17"/>
      <c r="AQ1472" s="17"/>
    </row>
    <row r="1473" spans="24:43" x14ac:dyDescent="0.45">
      <c r="X1473" s="2"/>
      <c r="Y1473" s="2"/>
      <c r="AC1473" s="13"/>
      <c r="AD1473" s="13"/>
      <c r="AE1473" s="13"/>
      <c r="AF1473" s="17"/>
      <c r="AH1473" s="2"/>
      <c r="AL1473" s="17"/>
      <c r="AM1473" s="17"/>
      <c r="AN1473" s="17"/>
      <c r="AO1473" s="17"/>
      <c r="AP1473" s="17"/>
      <c r="AQ1473" s="17"/>
    </row>
    <row r="1474" spans="24:43" x14ac:dyDescent="0.45">
      <c r="X1474" s="2"/>
      <c r="Y1474" s="2"/>
      <c r="AC1474" s="13"/>
      <c r="AD1474" s="13"/>
      <c r="AE1474" s="13"/>
      <c r="AF1474" s="17"/>
      <c r="AH1474" s="2"/>
      <c r="AL1474" s="17"/>
      <c r="AM1474" s="17"/>
      <c r="AN1474" s="17"/>
      <c r="AO1474" s="17"/>
      <c r="AP1474" s="17"/>
      <c r="AQ1474" s="17"/>
    </row>
    <row r="1475" spans="24:43" x14ac:dyDescent="0.45">
      <c r="X1475" s="2"/>
      <c r="Y1475" s="2"/>
      <c r="AC1475" s="13"/>
      <c r="AD1475" s="13"/>
      <c r="AE1475" s="13"/>
      <c r="AF1475" s="17"/>
      <c r="AH1475" s="2"/>
      <c r="AL1475" s="17"/>
      <c r="AM1475" s="17"/>
      <c r="AN1475" s="17"/>
      <c r="AO1475" s="17"/>
      <c r="AP1475" s="17"/>
      <c r="AQ1475" s="17"/>
    </row>
    <row r="1476" spans="24:43" x14ac:dyDescent="0.45">
      <c r="X1476" s="2"/>
      <c r="Y1476" s="2"/>
      <c r="AC1476" s="13"/>
      <c r="AD1476" s="13"/>
      <c r="AE1476" s="13"/>
      <c r="AF1476" s="17"/>
      <c r="AH1476" s="2"/>
      <c r="AL1476" s="17"/>
      <c r="AM1476" s="17"/>
      <c r="AN1476" s="17"/>
      <c r="AO1476" s="17"/>
      <c r="AP1476" s="17"/>
      <c r="AQ1476" s="17"/>
    </row>
    <row r="1477" spans="24:43" x14ac:dyDescent="0.45">
      <c r="X1477" s="2"/>
      <c r="Y1477" s="2"/>
      <c r="AC1477" s="13"/>
      <c r="AD1477" s="13"/>
      <c r="AE1477" s="13"/>
      <c r="AF1477" s="17"/>
      <c r="AH1477" s="2"/>
      <c r="AL1477" s="17"/>
      <c r="AM1477" s="17"/>
      <c r="AN1477" s="17"/>
      <c r="AO1477" s="17"/>
      <c r="AP1477" s="17"/>
      <c r="AQ1477" s="17"/>
    </row>
    <row r="1478" spans="24:43" x14ac:dyDescent="0.45">
      <c r="X1478" s="2"/>
      <c r="Y1478" s="2"/>
      <c r="AC1478" s="13"/>
      <c r="AD1478" s="13"/>
      <c r="AE1478" s="13"/>
      <c r="AF1478" s="17"/>
      <c r="AH1478" s="2"/>
      <c r="AL1478" s="17"/>
      <c r="AM1478" s="17"/>
      <c r="AN1478" s="17"/>
      <c r="AO1478" s="17"/>
      <c r="AP1478" s="17"/>
      <c r="AQ1478" s="17"/>
    </row>
    <row r="1479" spans="24:43" x14ac:dyDescent="0.45">
      <c r="X1479" s="2"/>
      <c r="Y1479" s="2"/>
      <c r="AC1479" s="13"/>
      <c r="AD1479" s="13"/>
      <c r="AE1479" s="13"/>
      <c r="AF1479" s="17"/>
      <c r="AH1479" s="2"/>
      <c r="AL1479" s="17"/>
      <c r="AM1479" s="17"/>
      <c r="AN1479" s="17"/>
      <c r="AO1479" s="17"/>
      <c r="AP1479" s="17"/>
      <c r="AQ1479" s="17"/>
    </row>
    <row r="1480" spans="24:43" x14ac:dyDescent="0.45">
      <c r="X1480" s="2"/>
      <c r="Y1480" s="2"/>
      <c r="AC1480" s="13"/>
      <c r="AD1480" s="13"/>
      <c r="AE1480" s="13"/>
      <c r="AF1480" s="17"/>
      <c r="AH1480" s="2"/>
      <c r="AL1480" s="17"/>
      <c r="AM1480" s="17"/>
      <c r="AN1480" s="17"/>
      <c r="AO1480" s="17"/>
      <c r="AP1480" s="17"/>
      <c r="AQ1480" s="17"/>
    </row>
    <row r="1481" spans="24:43" x14ac:dyDescent="0.45">
      <c r="X1481" s="2"/>
      <c r="Y1481" s="2"/>
      <c r="AC1481" s="13"/>
      <c r="AD1481" s="13"/>
      <c r="AE1481" s="13"/>
      <c r="AF1481" s="17"/>
      <c r="AH1481" s="2"/>
      <c r="AL1481" s="17"/>
      <c r="AM1481" s="17"/>
      <c r="AN1481" s="17"/>
      <c r="AO1481" s="17"/>
      <c r="AP1481" s="17"/>
      <c r="AQ1481" s="17"/>
    </row>
    <row r="1482" spans="24:43" x14ac:dyDescent="0.45">
      <c r="X1482" s="2"/>
      <c r="Y1482" s="2"/>
      <c r="AC1482" s="13"/>
      <c r="AD1482" s="13"/>
      <c r="AE1482" s="13"/>
      <c r="AF1482" s="17"/>
      <c r="AH1482" s="2"/>
      <c r="AL1482" s="17"/>
      <c r="AM1482" s="17"/>
      <c r="AN1482" s="17"/>
      <c r="AO1482" s="17"/>
      <c r="AP1482" s="17"/>
      <c r="AQ1482" s="17"/>
    </row>
    <row r="1483" spans="24:43" x14ac:dyDescent="0.45">
      <c r="X1483" s="2"/>
      <c r="Y1483" s="2"/>
      <c r="AC1483" s="13"/>
      <c r="AD1483" s="13"/>
      <c r="AE1483" s="13"/>
      <c r="AF1483" s="17"/>
      <c r="AH1483" s="2"/>
      <c r="AL1483" s="17"/>
      <c r="AM1483" s="17"/>
      <c r="AN1483" s="17"/>
      <c r="AO1483" s="17"/>
      <c r="AP1483" s="17"/>
      <c r="AQ1483" s="17"/>
    </row>
    <row r="1484" spans="24:43" x14ac:dyDescent="0.45">
      <c r="X1484" s="2"/>
      <c r="Y1484" s="2"/>
      <c r="AC1484" s="13"/>
      <c r="AD1484" s="13"/>
      <c r="AE1484" s="13"/>
      <c r="AF1484" s="17"/>
      <c r="AH1484" s="2"/>
      <c r="AL1484" s="17"/>
      <c r="AM1484" s="17"/>
      <c r="AN1484" s="17"/>
      <c r="AO1484" s="17"/>
      <c r="AP1484" s="17"/>
      <c r="AQ1484" s="17"/>
    </row>
    <row r="1485" spans="24:43" x14ac:dyDescent="0.45">
      <c r="X1485" s="2"/>
      <c r="Y1485" s="2"/>
      <c r="AC1485" s="13"/>
      <c r="AD1485" s="13"/>
      <c r="AE1485" s="13"/>
      <c r="AF1485" s="17"/>
      <c r="AH1485" s="2"/>
      <c r="AL1485" s="17"/>
      <c r="AM1485" s="17"/>
      <c r="AN1485" s="17"/>
      <c r="AO1485" s="17"/>
      <c r="AP1485" s="17"/>
      <c r="AQ1485" s="17"/>
    </row>
    <row r="1486" spans="24:43" x14ac:dyDescent="0.45">
      <c r="X1486" s="2"/>
      <c r="Y1486" s="2"/>
      <c r="AC1486" s="13"/>
      <c r="AD1486" s="13"/>
      <c r="AE1486" s="13"/>
      <c r="AF1486" s="17"/>
      <c r="AH1486" s="2"/>
      <c r="AL1486" s="17"/>
      <c r="AM1486" s="17"/>
      <c r="AN1486" s="17"/>
      <c r="AO1486" s="17"/>
      <c r="AP1486" s="17"/>
      <c r="AQ1486" s="17"/>
    </row>
    <row r="1487" spans="24:43" x14ac:dyDescent="0.45">
      <c r="X1487" s="2"/>
      <c r="Y1487" s="2"/>
      <c r="AC1487" s="13"/>
      <c r="AD1487" s="13"/>
      <c r="AE1487" s="13"/>
      <c r="AF1487" s="17"/>
      <c r="AH1487" s="2"/>
      <c r="AL1487" s="17"/>
      <c r="AM1487" s="17"/>
      <c r="AN1487" s="17"/>
      <c r="AO1487" s="17"/>
      <c r="AP1487" s="17"/>
      <c r="AQ1487" s="17"/>
    </row>
    <row r="1488" spans="24:43" x14ac:dyDescent="0.45">
      <c r="X1488" s="2"/>
      <c r="Y1488" s="2"/>
      <c r="AC1488" s="13"/>
      <c r="AD1488" s="13"/>
      <c r="AE1488" s="13"/>
      <c r="AF1488" s="17"/>
      <c r="AH1488" s="2"/>
      <c r="AL1488" s="17"/>
      <c r="AM1488" s="17"/>
      <c r="AN1488" s="17"/>
      <c r="AO1488" s="17"/>
      <c r="AP1488" s="17"/>
      <c r="AQ1488" s="17"/>
    </row>
    <row r="1489" spans="24:43" x14ac:dyDescent="0.45">
      <c r="X1489" s="2"/>
      <c r="Y1489" s="2"/>
      <c r="AC1489" s="13"/>
      <c r="AD1489" s="13"/>
      <c r="AE1489" s="13"/>
      <c r="AF1489" s="17"/>
      <c r="AH1489" s="2"/>
      <c r="AL1489" s="17"/>
      <c r="AM1489" s="17"/>
      <c r="AN1489" s="17"/>
      <c r="AO1489" s="17"/>
      <c r="AP1489" s="17"/>
      <c r="AQ1489" s="17"/>
    </row>
    <row r="1490" spans="24:43" x14ac:dyDescent="0.45">
      <c r="X1490" s="2"/>
      <c r="Y1490" s="2"/>
      <c r="AC1490" s="13"/>
      <c r="AD1490" s="13"/>
      <c r="AE1490" s="13"/>
      <c r="AF1490" s="17"/>
      <c r="AH1490" s="2"/>
      <c r="AL1490" s="17"/>
      <c r="AM1490" s="17"/>
      <c r="AN1490" s="17"/>
      <c r="AO1490" s="17"/>
      <c r="AP1490" s="17"/>
      <c r="AQ1490" s="17"/>
    </row>
    <row r="1491" spans="24:43" x14ac:dyDescent="0.45">
      <c r="X1491" s="2"/>
      <c r="Y1491" s="2"/>
      <c r="AC1491" s="13"/>
      <c r="AD1491" s="13"/>
      <c r="AE1491" s="13"/>
      <c r="AF1491" s="17"/>
      <c r="AH1491" s="2"/>
      <c r="AL1491" s="17"/>
      <c r="AM1491" s="17"/>
      <c r="AN1491" s="17"/>
      <c r="AO1491" s="17"/>
      <c r="AP1491" s="17"/>
      <c r="AQ1491" s="17"/>
    </row>
    <row r="1492" spans="24:43" x14ac:dyDescent="0.45">
      <c r="X1492" s="2"/>
      <c r="Y1492" s="2"/>
      <c r="AC1492" s="13"/>
      <c r="AD1492" s="13"/>
      <c r="AE1492" s="13"/>
      <c r="AF1492" s="17"/>
      <c r="AH1492" s="2"/>
      <c r="AL1492" s="17"/>
      <c r="AM1492" s="17"/>
      <c r="AN1492" s="17"/>
      <c r="AO1492" s="17"/>
      <c r="AP1492" s="17"/>
      <c r="AQ1492" s="17"/>
    </row>
    <row r="1493" spans="24:43" x14ac:dyDescent="0.45">
      <c r="X1493" s="2"/>
      <c r="Y1493" s="2"/>
      <c r="AC1493" s="13"/>
      <c r="AD1493" s="13"/>
      <c r="AE1493" s="13"/>
      <c r="AF1493" s="17"/>
      <c r="AH1493" s="2"/>
      <c r="AL1493" s="17"/>
      <c r="AM1493" s="17"/>
      <c r="AN1493" s="17"/>
      <c r="AO1493" s="17"/>
      <c r="AP1493" s="17"/>
      <c r="AQ1493" s="17"/>
    </row>
    <row r="1494" spans="24:43" x14ac:dyDescent="0.45">
      <c r="X1494" s="2"/>
      <c r="Y1494" s="2"/>
      <c r="AC1494" s="13"/>
      <c r="AD1494" s="13"/>
      <c r="AE1494" s="13"/>
      <c r="AF1494" s="17"/>
      <c r="AH1494" s="2"/>
      <c r="AL1494" s="17"/>
      <c r="AM1494" s="17"/>
      <c r="AN1494" s="17"/>
      <c r="AO1494" s="17"/>
      <c r="AP1494" s="17"/>
      <c r="AQ1494" s="17"/>
    </row>
    <row r="1495" spans="24:43" x14ac:dyDescent="0.45">
      <c r="X1495" s="2"/>
      <c r="Y1495" s="2"/>
      <c r="AC1495" s="13"/>
      <c r="AD1495" s="13"/>
      <c r="AE1495" s="13"/>
      <c r="AF1495" s="17"/>
      <c r="AH1495" s="2"/>
      <c r="AL1495" s="17"/>
      <c r="AM1495" s="17"/>
      <c r="AN1495" s="17"/>
      <c r="AO1495" s="17"/>
      <c r="AP1495" s="17"/>
      <c r="AQ1495" s="17"/>
    </row>
    <row r="1496" spans="24:43" x14ac:dyDescent="0.45">
      <c r="X1496" s="2"/>
      <c r="Y1496" s="2"/>
      <c r="AC1496" s="13"/>
      <c r="AD1496" s="13"/>
      <c r="AE1496" s="13"/>
      <c r="AF1496" s="17"/>
      <c r="AH1496" s="2"/>
      <c r="AL1496" s="17"/>
      <c r="AM1496" s="17"/>
      <c r="AN1496" s="17"/>
      <c r="AO1496" s="17"/>
      <c r="AP1496" s="17"/>
      <c r="AQ1496" s="17"/>
    </row>
    <row r="1497" spans="24:43" x14ac:dyDescent="0.45">
      <c r="X1497" s="2"/>
      <c r="Y1497" s="2"/>
      <c r="AC1497" s="13"/>
      <c r="AD1497" s="13"/>
      <c r="AE1497" s="13"/>
      <c r="AF1497" s="17"/>
      <c r="AH1497" s="2"/>
      <c r="AL1497" s="17"/>
      <c r="AM1497" s="17"/>
      <c r="AN1497" s="17"/>
      <c r="AO1497" s="17"/>
      <c r="AP1497" s="17"/>
      <c r="AQ1497" s="17"/>
    </row>
    <row r="1498" spans="24:43" x14ac:dyDescent="0.45">
      <c r="X1498" s="2"/>
      <c r="Y1498" s="2"/>
      <c r="AC1498" s="13"/>
      <c r="AD1498" s="13"/>
      <c r="AE1498" s="13"/>
      <c r="AF1498" s="17"/>
      <c r="AH1498" s="2"/>
      <c r="AL1498" s="17"/>
      <c r="AM1498" s="17"/>
      <c r="AN1498" s="17"/>
      <c r="AO1498" s="17"/>
      <c r="AP1498" s="17"/>
      <c r="AQ1498" s="17"/>
    </row>
    <row r="1499" spans="24:43" x14ac:dyDescent="0.45">
      <c r="X1499" s="2"/>
      <c r="Y1499" s="2"/>
      <c r="AC1499" s="13"/>
      <c r="AD1499" s="13"/>
      <c r="AE1499" s="13"/>
      <c r="AF1499" s="17"/>
      <c r="AH1499" s="2"/>
      <c r="AL1499" s="17"/>
      <c r="AM1499" s="17"/>
      <c r="AN1499" s="17"/>
      <c r="AO1499" s="17"/>
      <c r="AP1499" s="17"/>
      <c r="AQ1499" s="17"/>
    </row>
    <row r="1500" spans="24:43" x14ac:dyDescent="0.45">
      <c r="X1500" s="2"/>
      <c r="Y1500" s="2"/>
      <c r="AC1500" s="13"/>
      <c r="AD1500" s="13"/>
      <c r="AE1500" s="13"/>
      <c r="AF1500" s="17"/>
      <c r="AH1500" s="2"/>
      <c r="AL1500" s="17"/>
      <c r="AM1500" s="17"/>
      <c r="AN1500" s="17"/>
      <c r="AO1500" s="17"/>
      <c r="AP1500" s="17"/>
      <c r="AQ1500" s="17"/>
    </row>
    <row r="1501" spans="24:43" x14ac:dyDescent="0.45">
      <c r="X1501" s="2"/>
      <c r="Y1501" s="2"/>
      <c r="AC1501" s="13"/>
      <c r="AD1501" s="13"/>
      <c r="AE1501" s="13"/>
      <c r="AF1501" s="17"/>
      <c r="AH1501" s="2"/>
      <c r="AL1501" s="17"/>
      <c r="AM1501" s="17"/>
      <c r="AN1501" s="17"/>
      <c r="AO1501" s="17"/>
      <c r="AP1501" s="17"/>
      <c r="AQ1501" s="17"/>
    </row>
    <row r="1502" spans="24:43" x14ac:dyDescent="0.45">
      <c r="X1502" s="2"/>
      <c r="Y1502" s="2"/>
      <c r="AC1502" s="13"/>
      <c r="AD1502" s="13"/>
      <c r="AE1502" s="13"/>
      <c r="AF1502" s="17"/>
      <c r="AH1502" s="2"/>
      <c r="AL1502" s="17"/>
      <c r="AM1502" s="17"/>
      <c r="AN1502" s="17"/>
      <c r="AO1502" s="17"/>
      <c r="AP1502" s="17"/>
      <c r="AQ1502" s="17"/>
    </row>
    <row r="1503" spans="24:43" x14ac:dyDescent="0.45">
      <c r="X1503" s="2"/>
      <c r="Y1503" s="2"/>
      <c r="AC1503" s="13"/>
      <c r="AD1503" s="13"/>
      <c r="AE1503" s="13"/>
      <c r="AF1503" s="17"/>
      <c r="AH1503" s="2"/>
      <c r="AL1503" s="17"/>
      <c r="AM1503" s="17"/>
      <c r="AN1503" s="17"/>
      <c r="AO1503" s="17"/>
      <c r="AP1503" s="17"/>
      <c r="AQ1503" s="17"/>
    </row>
    <row r="1504" spans="24:43" x14ac:dyDescent="0.45">
      <c r="X1504" s="2"/>
      <c r="Y1504" s="2"/>
      <c r="AC1504" s="13"/>
      <c r="AD1504" s="13"/>
      <c r="AE1504" s="13"/>
      <c r="AF1504" s="17"/>
      <c r="AH1504" s="2"/>
      <c r="AL1504" s="17"/>
      <c r="AM1504" s="17"/>
      <c r="AN1504" s="17"/>
      <c r="AO1504" s="17"/>
      <c r="AP1504" s="17"/>
      <c r="AQ1504" s="17"/>
    </row>
    <row r="1505" spans="24:43" x14ac:dyDescent="0.45">
      <c r="X1505" s="2"/>
      <c r="Y1505" s="2"/>
      <c r="AC1505" s="13"/>
      <c r="AD1505" s="13"/>
      <c r="AE1505" s="13"/>
      <c r="AF1505" s="17"/>
      <c r="AH1505" s="2"/>
      <c r="AL1505" s="17"/>
      <c r="AM1505" s="17"/>
      <c r="AN1505" s="17"/>
      <c r="AO1505" s="17"/>
      <c r="AP1505" s="17"/>
      <c r="AQ1505" s="17"/>
    </row>
    <row r="1506" spans="24:43" x14ac:dyDescent="0.45">
      <c r="X1506" s="2"/>
      <c r="Y1506" s="2"/>
      <c r="AC1506" s="13"/>
      <c r="AD1506" s="13"/>
      <c r="AE1506" s="13"/>
      <c r="AF1506" s="17"/>
      <c r="AH1506" s="2"/>
      <c r="AL1506" s="17"/>
      <c r="AM1506" s="17"/>
      <c r="AN1506" s="17"/>
      <c r="AO1506" s="17"/>
      <c r="AP1506" s="17"/>
      <c r="AQ1506" s="17"/>
    </row>
    <row r="1507" spans="24:43" x14ac:dyDescent="0.45">
      <c r="X1507" s="2"/>
      <c r="Y1507" s="2"/>
      <c r="AC1507" s="13"/>
      <c r="AD1507" s="13"/>
      <c r="AE1507" s="13"/>
      <c r="AF1507" s="17"/>
      <c r="AH1507" s="2"/>
      <c r="AL1507" s="17"/>
      <c r="AM1507" s="17"/>
      <c r="AN1507" s="17"/>
      <c r="AO1507" s="17"/>
      <c r="AP1507" s="17"/>
      <c r="AQ1507" s="17"/>
    </row>
    <row r="1508" spans="24:43" x14ac:dyDescent="0.45">
      <c r="X1508" s="2"/>
      <c r="Y1508" s="2"/>
      <c r="AC1508" s="13"/>
      <c r="AD1508" s="13"/>
      <c r="AE1508" s="13"/>
      <c r="AF1508" s="17"/>
      <c r="AH1508" s="2"/>
      <c r="AL1508" s="17"/>
      <c r="AM1508" s="17"/>
      <c r="AN1508" s="17"/>
      <c r="AO1508" s="17"/>
      <c r="AP1508" s="17"/>
      <c r="AQ1508" s="17"/>
    </row>
    <row r="1509" spans="24:43" x14ac:dyDescent="0.45">
      <c r="X1509" s="2"/>
      <c r="Y1509" s="2"/>
      <c r="AC1509" s="13"/>
      <c r="AD1509" s="13"/>
      <c r="AE1509" s="13"/>
      <c r="AF1509" s="17"/>
      <c r="AH1509" s="2"/>
      <c r="AL1509" s="17"/>
      <c r="AM1509" s="17"/>
      <c r="AN1509" s="17"/>
      <c r="AO1509" s="17"/>
      <c r="AP1509" s="17"/>
      <c r="AQ1509" s="17"/>
    </row>
    <row r="1510" spans="24:43" x14ac:dyDescent="0.45">
      <c r="X1510" s="2"/>
      <c r="Y1510" s="2"/>
      <c r="AC1510" s="13"/>
      <c r="AD1510" s="13"/>
      <c r="AE1510" s="13"/>
      <c r="AF1510" s="17"/>
      <c r="AH1510" s="2"/>
      <c r="AL1510" s="17"/>
      <c r="AM1510" s="17"/>
      <c r="AN1510" s="17"/>
      <c r="AO1510" s="17"/>
      <c r="AP1510" s="17"/>
      <c r="AQ1510" s="17"/>
    </row>
    <row r="1511" spans="24:43" x14ac:dyDescent="0.45">
      <c r="X1511" s="2"/>
      <c r="Y1511" s="2"/>
      <c r="AC1511" s="13"/>
      <c r="AD1511" s="13"/>
      <c r="AE1511" s="13"/>
      <c r="AF1511" s="17"/>
      <c r="AH1511" s="2"/>
      <c r="AL1511" s="17"/>
      <c r="AM1511" s="17"/>
      <c r="AN1511" s="17"/>
      <c r="AO1511" s="17"/>
      <c r="AP1511" s="17"/>
      <c r="AQ1511" s="17"/>
    </row>
    <row r="1512" spans="24:43" x14ac:dyDescent="0.45">
      <c r="X1512" s="2"/>
      <c r="Y1512" s="2"/>
      <c r="AC1512" s="13"/>
      <c r="AD1512" s="13"/>
      <c r="AE1512" s="13"/>
      <c r="AF1512" s="17"/>
      <c r="AH1512" s="2"/>
      <c r="AL1512" s="17"/>
      <c r="AM1512" s="17"/>
      <c r="AN1512" s="17"/>
      <c r="AO1512" s="17"/>
      <c r="AP1512" s="17"/>
      <c r="AQ1512" s="17"/>
    </row>
    <row r="1513" spans="24:43" x14ac:dyDescent="0.45">
      <c r="X1513" s="2"/>
      <c r="Y1513" s="2"/>
      <c r="AC1513" s="13"/>
      <c r="AD1513" s="13"/>
      <c r="AE1513" s="13"/>
      <c r="AF1513" s="17"/>
      <c r="AH1513" s="2"/>
      <c r="AL1513" s="17"/>
      <c r="AM1513" s="17"/>
      <c r="AN1513" s="17"/>
      <c r="AO1513" s="17"/>
      <c r="AP1513" s="17"/>
      <c r="AQ1513" s="17"/>
    </row>
    <row r="1514" spans="24:43" x14ac:dyDescent="0.45">
      <c r="X1514" s="2"/>
      <c r="Y1514" s="2"/>
      <c r="AC1514" s="13"/>
      <c r="AD1514" s="13"/>
      <c r="AE1514" s="13"/>
      <c r="AF1514" s="17"/>
      <c r="AH1514" s="2"/>
      <c r="AL1514" s="17"/>
      <c r="AM1514" s="17"/>
      <c r="AN1514" s="17"/>
      <c r="AO1514" s="17"/>
      <c r="AP1514" s="17"/>
      <c r="AQ1514" s="17"/>
    </row>
    <row r="1515" spans="24:43" x14ac:dyDescent="0.45">
      <c r="X1515" s="2"/>
      <c r="Y1515" s="2"/>
      <c r="AC1515" s="13"/>
      <c r="AD1515" s="13"/>
      <c r="AE1515" s="13"/>
      <c r="AF1515" s="17"/>
      <c r="AH1515" s="2"/>
      <c r="AL1515" s="17"/>
      <c r="AM1515" s="17"/>
      <c r="AN1515" s="17"/>
      <c r="AO1515" s="17"/>
      <c r="AP1515" s="17"/>
      <c r="AQ1515" s="17"/>
    </row>
    <row r="1516" spans="24:43" x14ac:dyDescent="0.45">
      <c r="X1516" s="2"/>
      <c r="Y1516" s="2"/>
      <c r="AC1516" s="13"/>
      <c r="AD1516" s="13"/>
      <c r="AE1516" s="13"/>
      <c r="AF1516" s="17"/>
      <c r="AH1516" s="2"/>
      <c r="AL1516" s="17"/>
      <c r="AM1516" s="17"/>
      <c r="AN1516" s="17"/>
      <c r="AO1516" s="17"/>
      <c r="AP1516" s="17"/>
      <c r="AQ1516" s="17"/>
    </row>
    <row r="1517" spans="24:43" x14ac:dyDescent="0.45">
      <c r="X1517" s="2"/>
      <c r="Y1517" s="2"/>
      <c r="AC1517" s="13"/>
      <c r="AD1517" s="13"/>
      <c r="AE1517" s="13"/>
      <c r="AF1517" s="17"/>
      <c r="AH1517" s="2"/>
      <c r="AL1517" s="17"/>
      <c r="AM1517" s="17"/>
      <c r="AN1517" s="17"/>
      <c r="AO1517" s="17"/>
      <c r="AP1517" s="17"/>
      <c r="AQ1517" s="17"/>
    </row>
    <row r="1518" spans="24:43" x14ac:dyDescent="0.45">
      <c r="X1518" s="2"/>
      <c r="Y1518" s="2"/>
      <c r="AC1518" s="13"/>
      <c r="AD1518" s="13"/>
      <c r="AE1518" s="13"/>
      <c r="AF1518" s="17"/>
      <c r="AH1518" s="2"/>
      <c r="AL1518" s="17"/>
      <c r="AM1518" s="17"/>
      <c r="AN1518" s="17"/>
      <c r="AO1518" s="17"/>
      <c r="AP1518" s="17"/>
      <c r="AQ1518" s="17"/>
    </row>
    <row r="1519" spans="24:43" x14ac:dyDescent="0.45">
      <c r="X1519" s="2"/>
      <c r="Y1519" s="2"/>
      <c r="AC1519" s="13"/>
      <c r="AD1519" s="13"/>
      <c r="AE1519" s="13"/>
      <c r="AF1519" s="17"/>
      <c r="AH1519" s="2"/>
      <c r="AL1519" s="17"/>
      <c r="AM1519" s="17"/>
      <c r="AN1519" s="17"/>
      <c r="AO1519" s="17"/>
      <c r="AP1519" s="17"/>
      <c r="AQ1519" s="17"/>
    </row>
    <row r="1520" spans="24:43" x14ac:dyDescent="0.45">
      <c r="X1520" s="2"/>
      <c r="Y1520" s="2"/>
      <c r="AC1520" s="13"/>
      <c r="AD1520" s="13"/>
      <c r="AE1520" s="13"/>
      <c r="AF1520" s="17"/>
      <c r="AH1520" s="2"/>
      <c r="AL1520" s="17"/>
      <c r="AM1520" s="17"/>
      <c r="AN1520" s="17"/>
      <c r="AO1520" s="17"/>
      <c r="AP1520" s="17"/>
      <c r="AQ1520" s="17"/>
    </row>
    <row r="1521" spans="24:43" x14ac:dyDescent="0.45">
      <c r="X1521" s="2"/>
      <c r="Y1521" s="2"/>
      <c r="AC1521" s="13"/>
      <c r="AD1521" s="13"/>
      <c r="AE1521" s="13"/>
      <c r="AF1521" s="17"/>
      <c r="AH1521" s="2"/>
      <c r="AL1521" s="17"/>
      <c r="AM1521" s="17"/>
      <c r="AN1521" s="17"/>
      <c r="AO1521" s="17"/>
      <c r="AP1521" s="17"/>
      <c r="AQ1521" s="17"/>
    </row>
    <row r="1522" spans="24:43" x14ac:dyDescent="0.45">
      <c r="X1522" s="2"/>
      <c r="Y1522" s="2"/>
      <c r="AC1522" s="13"/>
      <c r="AD1522" s="13"/>
      <c r="AE1522" s="13"/>
      <c r="AF1522" s="17"/>
      <c r="AH1522" s="2"/>
      <c r="AL1522" s="17"/>
      <c r="AM1522" s="17"/>
      <c r="AN1522" s="17"/>
      <c r="AO1522" s="17"/>
      <c r="AP1522" s="17"/>
      <c r="AQ1522" s="17"/>
    </row>
    <row r="1523" spans="24:43" x14ac:dyDescent="0.45">
      <c r="X1523" s="2"/>
      <c r="Y1523" s="2"/>
      <c r="AC1523" s="13"/>
      <c r="AD1523" s="13"/>
      <c r="AE1523" s="13"/>
      <c r="AF1523" s="17"/>
      <c r="AH1523" s="2"/>
      <c r="AL1523" s="17"/>
      <c r="AM1523" s="17"/>
      <c r="AN1523" s="17"/>
      <c r="AO1523" s="17"/>
      <c r="AP1523" s="17"/>
      <c r="AQ1523" s="17"/>
    </row>
    <row r="1524" spans="24:43" x14ac:dyDescent="0.45">
      <c r="X1524" s="2"/>
      <c r="Y1524" s="2"/>
      <c r="AC1524" s="13"/>
      <c r="AD1524" s="13"/>
      <c r="AE1524" s="13"/>
      <c r="AF1524" s="17"/>
      <c r="AH1524" s="2"/>
      <c r="AL1524" s="17"/>
      <c r="AM1524" s="17"/>
      <c r="AN1524" s="17"/>
      <c r="AO1524" s="17"/>
      <c r="AP1524" s="17"/>
      <c r="AQ1524" s="17"/>
    </row>
    <row r="1525" spans="24:43" x14ac:dyDescent="0.45">
      <c r="X1525" s="2"/>
      <c r="Y1525" s="2"/>
      <c r="AC1525" s="13"/>
      <c r="AD1525" s="13"/>
      <c r="AE1525" s="13"/>
      <c r="AF1525" s="17"/>
      <c r="AH1525" s="2"/>
      <c r="AL1525" s="17"/>
      <c r="AM1525" s="17"/>
      <c r="AN1525" s="17"/>
      <c r="AO1525" s="17"/>
      <c r="AP1525" s="17"/>
      <c r="AQ1525" s="17"/>
    </row>
    <row r="1526" spans="24:43" x14ac:dyDescent="0.45">
      <c r="X1526" s="2"/>
      <c r="Y1526" s="2"/>
      <c r="AC1526" s="13"/>
      <c r="AD1526" s="13"/>
      <c r="AE1526" s="13"/>
      <c r="AF1526" s="17"/>
      <c r="AH1526" s="2"/>
      <c r="AL1526" s="17"/>
      <c r="AM1526" s="17"/>
      <c r="AN1526" s="17"/>
      <c r="AO1526" s="17"/>
      <c r="AP1526" s="17"/>
      <c r="AQ1526" s="17"/>
    </row>
    <row r="1527" spans="24:43" x14ac:dyDescent="0.45">
      <c r="X1527" s="2"/>
      <c r="Y1527" s="2"/>
      <c r="AC1527" s="13"/>
      <c r="AD1527" s="13"/>
      <c r="AE1527" s="13"/>
      <c r="AF1527" s="17"/>
      <c r="AH1527" s="2"/>
      <c r="AL1527" s="17"/>
      <c r="AM1527" s="17"/>
      <c r="AN1527" s="17"/>
      <c r="AO1527" s="17"/>
      <c r="AP1527" s="17"/>
      <c r="AQ1527" s="17"/>
    </row>
    <row r="1528" spans="24:43" x14ac:dyDescent="0.45">
      <c r="X1528" s="2"/>
      <c r="Y1528" s="2"/>
      <c r="AC1528" s="13"/>
      <c r="AD1528" s="13"/>
      <c r="AE1528" s="13"/>
      <c r="AF1528" s="17"/>
      <c r="AH1528" s="2"/>
      <c r="AL1528" s="17"/>
      <c r="AM1528" s="17"/>
      <c r="AN1528" s="17"/>
      <c r="AO1528" s="17"/>
      <c r="AP1528" s="17"/>
      <c r="AQ1528" s="17"/>
    </row>
    <row r="1529" spans="24:43" x14ac:dyDescent="0.45">
      <c r="X1529" s="2"/>
      <c r="Y1529" s="2"/>
      <c r="AC1529" s="13"/>
      <c r="AD1529" s="13"/>
      <c r="AE1529" s="13"/>
      <c r="AF1529" s="17"/>
      <c r="AH1529" s="2"/>
      <c r="AL1529" s="17"/>
      <c r="AM1529" s="17"/>
      <c r="AN1529" s="17"/>
      <c r="AO1529" s="17"/>
      <c r="AP1529" s="17"/>
      <c r="AQ1529" s="17"/>
    </row>
    <row r="1530" spans="24:43" x14ac:dyDescent="0.45">
      <c r="X1530" s="2"/>
      <c r="Y1530" s="2"/>
      <c r="AC1530" s="13"/>
      <c r="AD1530" s="13"/>
      <c r="AE1530" s="13"/>
      <c r="AF1530" s="17"/>
      <c r="AH1530" s="2"/>
      <c r="AL1530" s="17"/>
      <c r="AM1530" s="17"/>
      <c r="AN1530" s="17"/>
      <c r="AO1530" s="17"/>
      <c r="AP1530" s="17"/>
      <c r="AQ1530" s="17"/>
    </row>
    <row r="1531" spans="24:43" x14ac:dyDescent="0.45">
      <c r="X1531" s="2"/>
      <c r="Y1531" s="2"/>
      <c r="AC1531" s="13"/>
      <c r="AD1531" s="13"/>
      <c r="AE1531" s="13"/>
      <c r="AF1531" s="17"/>
      <c r="AH1531" s="2"/>
      <c r="AL1531" s="17"/>
      <c r="AM1531" s="17"/>
      <c r="AN1531" s="17"/>
      <c r="AO1531" s="17"/>
      <c r="AP1531" s="17"/>
      <c r="AQ1531" s="17"/>
    </row>
    <row r="1532" spans="24:43" x14ac:dyDescent="0.45">
      <c r="X1532" s="2"/>
      <c r="Y1532" s="2"/>
      <c r="AC1532" s="13"/>
      <c r="AD1532" s="13"/>
      <c r="AE1532" s="13"/>
      <c r="AF1532" s="17"/>
      <c r="AH1532" s="2"/>
      <c r="AL1532" s="17"/>
      <c r="AM1532" s="17"/>
      <c r="AN1532" s="17"/>
      <c r="AO1532" s="17"/>
      <c r="AP1532" s="17"/>
      <c r="AQ1532" s="17"/>
    </row>
    <row r="1533" spans="24:43" x14ac:dyDescent="0.45">
      <c r="X1533" s="2"/>
      <c r="Y1533" s="2"/>
      <c r="AC1533" s="13"/>
      <c r="AD1533" s="13"/>
      <c r="AE1533" s="13"/>
      <c r="AF1533" s="17"/>
      <c r="AH1533" s="2"/>
      <c r="AL1533" s="17"/>
      <c r="AM1533" s="17"/>
      <c r="AN1533" s="17"/>
      <c r="AO1533" s="17"/>
      <c r="AP1533" s="17"/>
      <c r="AQ1533" s="17"/>
    </row>
    <row r="1534" spans="24:43" x14ac:dyDescent="0.45">
      <c r="X1534" s="2"/>
      <c r="Y1534" s="2"/>
      <c r="AC1534" s="13"/>
      <c r="AD1534" s="13"/>
      <c r="AE1534" s="13"/>
      <c r="AF1534" s="17"/>
      <c r="AH1534" s="2"/>
      <c r="AL1534" s="17"/>
      <c r="AM1534" s="17"/>
      <c r="AN1534" s="17"/>
      <c r="AO1534" s="17"/>
      <c r="AP1534" s="17"/>
      <c r="AQ1534" s="17"/>
    </row>
    <row r="1535" spans="24:43" x14ac:dyDescent="0.45">
      <c r="X1535" s="2"/>
      <c r="Y1535" s="2"/>
      <c r="AC1535" s="13"/>
      <c r="AD1535" s="13"/>
      <c r="AE1535" s="13"/>
      <c r="AF1535" s="17"/>
      <c r="AH1535" s="2"/>
      <c r="AL1535" s="17"/>
      <c r="AM1535" s="17"/>
      <c r="AN1535" s="17"/>
      <c r="AO1535" s="17"/>
      <c r="AP1535" s="17"/>
      <c r="AQ1535" s="17"/>
    </row>
    <row r="1536" spans="24:43" x14ac:dyDescent="0.45">
      <c r="X1536" s="2"/>
      <c r="Y1536" s="2"/>
      <c r="AC1536" s="13"/>
      <c r="AD1536" s="13"/>
      <c r="AE1536" s="13"/>
      <c r="AF1536" s="17"/>
      <c r="AH1536" s="2"/>
      <c r="AL1536" s="17"/>
      <c r="AM1536" s="17"/>
      <c r="AN1536" s="17"/>
      <c r="AO1536" s="17"/>
      <c r="AP1536" s="17"/>
      <c r="AQ1536" s="17"/>
    </row>
    <row r="1537" spans="24:43" x14ac:dyDescent="0.45">
      <c r="X1537" s="2"/>
      <c r="Y1537" s="2"/>
      <c r="AC1537" s="13"/>
      <c r="AD1537" s="13"/>
      <c r="AE1537" s="13"/>
      <c r="AF1537" s="17"/>
      <c r="AH1537" s="2"/>
      <c r="AL1537" s="17"/>
      <c r="AM1537" s="17"/>
      <c r="AN1537" s="17"/>
      <c r="AO1537" s="17"/>
      <c r="AP1537" s="17"/>
      <c r="AQ1537" s="17"/>
    </row>
    <row r="1538" spans="24:43" x14ac:dyDescent="0.45">
      <c r="X1538" s="2"/>
      <c r="Y1538" s="2"/>
      <c r="AC1538" s="13"/>
      <c r="AD1538" s="13"/>
      <c r="AE1538" s="13"/>
      <c r="AF1538" s="17"/>
      <c r="AH1538" s="2"/>
      <c r="AL1538" s="17"/>
      <c r="AM1538" s="17"/>
      <c r="AN1538" s="17"/>
      <c r="AO1538" s="17"/>
      <c r="AP1538" s="17"/>
      <c r="AQ1538" s="17"/>
    </row>
    <row r="1539" spans="24:43" x14ac:dyDescent="0.45">
      <c r="X1539" s="2"/>
      <c r="Y1539" s="2"/>
      <c r="AC1539" s="13"/>
      <c r="AD1539" s="13"/>
      <c r="AE1539" s="13"/>
      <c r="AF1539" s="17"/>
      <c r="AH1539" s="2"/>
      <c r="AL1539" s="17"/>
      <c r="AM1539" s="17"/>
      <c r="AN1539" s="17"/>
      <c r="AO1539" s="17"/>
      <c r="AP1539" s="17"/>
      <c r="AQ1539" s="17"/>
    </row>
    <row r="1540" spans="24:43" x14ac:dyDescent="0.45">
      <c r="X1540" s="2"/>
      <c r="Y1540" s="2"/>
      <c r="AC1540" s="13"/>
      <c r="AD1540" s="13"/>
      <c r="AE1540" s="13"/>
      <c r="AF1540" s="17"/>
      <c r="AH1540" s="2"/>
      <c r="AL1540" s="17"/>
      <c r="AM1540" s="17"/>
      <c r="AN1540" s="17"/>
      <c r="AO1540" s="17"/>
      <c r="AP1540" s="17"/>
      <c r="AQ1540" s="17"/>
    </row>
    <row r="1541" spans="24:43" x14ac:dyDescent="0.45">
      <c r="X1541" s="2"/>
      <c r="Y1541" s="2"/>
      <c r="AC1541" s="13"/>
      <c r="AD1541" s="13"/>
      <c r="AE1541" s="13"/>
      <c r="AF1541" s="17"/>
      <c r="AH1541" s="2"/>
      <c r="AL1541" s="17"/>
      <c r="AM1541" s="17"/>
      <c r="AN1541" s="17"/>
      <c r="AO1541" s="17"/>
      <c r="AP1541" s="17"/>
      <c r="AQ1541" s="17"/>
    </row>
    <row r="1542" spans="24:43" x14ac:dyDescent="0.45">
      <c r="X1542" s="2"/>
      <c r="Y1542" s="2"/>
      <c r="AC1542" s="13"/>
      <c r="AD1542" s="13"/>
      <c r="AE1542" s="13"/>
      <c r="AF1542" s="17"/>
      <c r="AH1542" s="2"/>
      <c r="AL1542" s="17"/>
      <c r="AM1542" s="17"/>
      <c r="AN1542" s="17"/>
      <c r="AO1542" s="17"/>
      <c r="AP1542" s="17"/>
      <c r="AQ1542" s="17"/>
    </row>
    <row r="1543" spans="24:43" x14ac:dyDescent="0.45">
      <c r="X1543" s="2"/>
      <c r="Y1543" s="2"/>
      <c r="AC1543" s="13"/>
      <c r="AD1543" s="13"/>
      <c r="AE1543" s="13"/>
      <c r="AF1543" s="17"/>
      <c r="AH1543" s="2"/>
      <c r="AL1543" s="17"/>
      <c r="AM1543" s="17"/>
      <c r="AN1543" s="17"/>
      <c r="AO1543" s="17"/>
      <c r="AP1543" s="17"/>
      <c r="AQ1543" s="17"/>
    </row>
    <row r="1544" spans="24:43" x14ac:dyDescent="0.45">
      <c r="X1544" s="2"/>
      <c r="Y1544" s="2"/>
      <c r="AC1544" s="13"/>
      <c r="AD1544" s="13"/>
      <c r="AE1544" s="13"/>
      <c r="AF1544" s="17"/>
      <c r="AH1544" s="2"/>
      <c r="AL1544" s="17"/>
      <c r="AM1544" s="17"/>
      <c r="AN1544" s="17"/>
      <c r="AO1544" s="17"/>
      <c r="AP1544" s="17"/>
      <c r="AQ1544" s="17"/>
    </row>
    <row r="1545" spans="24:43" x14ac:dyDescent="0.45">
      <c r="X1545" s="2"/>
      <c r="Y1545" s="2"/>
      <c r="AC1545" s="13"/>
      <c r="AD1545" s="13"/>
      <c r="AE1545" s="13"/>
      <c r="AF1545" s="17"/>
      <c r="AH1545" s="2"/>
      <c r="AL1545" s="17"/>
      <c r="AM1545" s="17"/>
      <c r="AN1545" s="17"/>
      <c r="AO1545" s="17"/>
      <c r="AP1545" s="17"/>
      <c r="AQ1545" s="17"/>
    </row>
    <row r="1546" spans="24:43" x14ac:dyDescent="0.45">
      <c r="X1546" s="2"/>
      <c r="Y1546" s="2"/>
      <c r="AC1546" s="13"/>
      <c r="AD1546" s="13"/>
      <c r="AE1546" s="13"/>
      <c r="AF1546" s="17"/>
      <c r="AH1546" s="2"/>
      <c r="AL1546" s="17"/>
      <c r="AM1546" s="17"/>
      <c r="AN1546" s="17"/>
      <c r="AO1546" s="17"/>
      <c r="AP1546" s="17"/>
      <c r="AQ1546" s="17"/>
    </row>
    <row r="1547" spans="24:43" x14ac:dyDescent="0.45">
      <c r="X1547" s="2"/>
      <c r="Y1547" s="2"/>
      <c r="AC1547" s="13"/>
      <c r="AD1547" s="13"/>
      <c r="AE1547" s="13"/>
      <c r="AF1547" s="17"/>
      <c r="AH1547" s="2"/>
      <c r="AL1547" s="17"/>
      <c r="AM1547" s="17"/>
      <c r="AN1547" s="17"/>
      <c r="AO1547" s="17"/>
      <c r="AP1547" s="17"/>
      <c r="AQ1547" s="17"/>
    </row>
    <row r="1548" spans="24:43" x14ac:dyDescent="0.45">
      <c r="X1548" s="2"/>
      <c r="Y1548" s="2"/>
      <c r="AC1548" s="13"/>
      <c r="AD1548" s="13"/>
      <c r="AE1548" s="13"/>
      <c r="AF1548" s="17"/>
      <c r="AH1548" s="2"/>
      <c r="AL1548" s="17"/>
      <c r="AM1548" s="17"/>
      <c r="AN1548" s="17"/>
      <c r="AO1548" s="17"/>
      <c r="AP1548" s="17"/>
      <c r="AQ1548" s="17"/>
    </row>
    <row r="1549" spans="24:43" x14ac:dyDescent="0.45">
      <c r="X1549" s="2"/>
      <c r="Y1549" s="2"/>
      <c r="AC1549" s="13"/>
      <c r="AD1549" s="13"/>
      <c r="AE1549" s="13"/>
      <c r="AF1549" s="17"/>
      <c r="AH1549" s="2"/>
      <c r="AL1549" s="17"/>
      <c r="AM1549" s="17"/>
      <c r="AN1549" s="17"/>
      <c r="AO1549" s="17"/>
      <c r="AP1549" s="17"/>
      <c r="AQ1549" s="17"/>
    </row>
    <row r="1550" spans="24:43" x14ac:dyDescent="0.45">
      <c r="X1550" s="2"/>
      <c r="Y1550" s="2"/>
      <c r="AC1550" s="13"/>
      <c r="AD1550" s="13"/>
      <c r="AE1550" s="13"/>
      <c r="AF1550" s="17"/>
      <c r="AH1550" s="2"/>
      <c r="AL1550" s="17"/>
      <c r="AM1550" s="17"/>
      <c r="AN1550" s="17"/>
      <c r="AO1550" s="17"/>
      <c r="AP1550" s="17"/>
      <c r="AQ1550" s="17"/>
    </row>
    <row r="1551" spans="24:43" x14ac:dyDescent="0.45">
      <c r="X1551" s="2"/>
      <c r="Y1551" s="2"/>
      <c r="AC1551" s="13"/>
      <c r="AD1551" s="13"/>
      <c r="AE1551" s="13"/>
      <c r="AF1551" s="17"/>
      <c r="AH1551" s="2"/>
      <c r="AL1551" s="17"/>
      <c r="AM1551" s="17"/>
      <c r="AN1551" s="17"/>
      <c r="AO1551" s="17"/>
      <c r="AP1551" s="17"/>
      <c r="AQ1551" s="17"/>
    </row>
    <row r="1552" spans="24:43" x14ac:dyDescent="0.45">
      <c r="X1552" s="2"/>
      <c r="Y1552" s="2"/>
      <c r="AC1552" s="13"/>
      <c r="AD1552" s="13"/>
      <c r="AE1552" s="13"/>
      <c r="AF1552" s="17"/>
      <c r="AH1552" s="2"/>
      <c r="AL1552" s="17"/>
      <c r="AM1552" s="17"/>
      <c r="AN1552" s="17"/>
      <c r="AO1552" s="17"/>
      <c r="AP1552" s="17"/>
      <c r="AQ1552" s="17"/>
    </row>
    <row r="1553" spans="24:43" x14ac:dyDescent="0.45">
      <c r="X1553" s="2"/>
      <c r="Y1553" s="2"/>
      <c r="AC1553" s="13"/>
      <c r="AD1553" s="13"/>
      <c r="AE1553" s="13"/>
      <c r="AF1553" s="17"/>
      <c r="AH1553" s="2"/>
      <c r="AL1553" s="17"/>
      <c r="AM1553" s="17"/>
      <c r="AN1553" s="17"/>
      <c r="AO1553" s="17"/>
      <c r="AP1553" s="17"/>
      <c r="AQ1553" s="17"/>
    </row>
    <row r="1554" spans="24:43" x14ac:dyDescent="0.45">
      <c r="X1554" s="2"/>
      <c r="Y1554" s="2"/>
      <c r="AC1554" s="13"/>
      <c r="AD1554" s="13"/>
      <c r="AE1554" s="13"/>
      <c r="AF1554" s="17"/>
      <c r="AH1554" s="2"/>
      <c r="AL1554" s="17"/>
      <c r="AM1554" s="17"/>
      <c r="AN1554" s="17"/>
      <c r="AO1554" s="17"/>
      <c r="AP1554" s="17"/>
      <c r="AQ1554" s="17"/>
    </row>
    <row r="1555" spans="24:43" x14ac:dyDescent="0.45">
      <c r="X1555" s="2"/>
      <c r="Y1555" s="2"/>
      <c r="AC1555" s="13"/>
      <c r="AD1555" s="13"/>
      <c r="AE1555" s="13"/>
      <c r="AF1555" s="17"/>
      <c r="AH1555" s="2"/>
      <c r="AL1555" s="17"/>
      <c r="AM1555" s="17"/>
      <c r="AN1555" s="17"/>
      <c r="AO1555" s="17"/>
      <c r="AP1555" s="17"/>
      <c r="AQ1555" s="17"/>
    </row>
    <row r="1556" spans="24:43" x14ac:dyDescent="0.45">
      <c r="X1556" s="2"/>
      <c r="Y1556" s="2"/>
      <c r="AC1556" s="13"/>
      <c r="AD1556" s="13"/>
      <c r="AE1556" s="13"/>
      <c r="AF1556" s="17"/>
      <c r="AH1556" s="2"/>
      <c r="AL1556" s="17"/>
      <c r="AM1556" s="17"/>
      <c r="AN1556" s="17"/>
      <c r="AO1556" s="17"/>
      <c r="AP1556" s="17"/>
      <c r="AQ1556" s="17"/>
    </row>
    <row r="1557" spans="24:43" x14ac:dyDescent="0.45">
      <c r="X1557" s="2"/>
      <c r="Y1557" s="2"/>
      <c r="AC1557" s="13"/>
      <c r="AD1557" s="13"/>
      <c r="AE1557" s="13"/>
      <c r="AF1557" s="17"/>
      <c r="AH1557" s="2"/>
      <c r="AL1557" s="17"/>
      <c r="AM1557" s="17"/>
      <c r="AN1557" s="17"/>
      <c r="AO1557" s="17"/>
      <c r="AP1557" s="17"/>
      <c r="AQ1557" s="17"/>
    </row>
    <row r="1558" spans="24:43" x14ac:dyDescent="0.45">
      <c r="X1558" s="2"/>
      <c r="Y1558" s="2"/>
      <c r="AC1558" s="13"/>
      <c r="AD1558" s="13"/>
      <c r="AE1558" s="13"/>
      <c r="AF1558" s="17"/>
      <c r="AH1558" s="2"/>
      <c r="AL1558" s="17"/>
      <c r="AM1558" s="17"/>
      <c r="AN1558" s="17"/>
      <c r="AO1558" s="17"/>
      <c r="AP1558" s="17"/>
      <c r="AQ1558" s="17"/>
    </row>
    <row r="1559" spans="24:43" x14ac:dyDescent="0.45">
      <c r="X1559" s="2"/>
      <c r="Y1559" s="2"/>
      <c r="AC1559" s="13"/>
      <c r="AD1559" s="13"/>
      <c r="AE1559" s="13"/>
      <c r="AF1559" s="17"/>
      <c r="AH1559" s="2"/>
      <c r="AL1559" s="17"/>
      <c r="AM1559" s="17"/>
      <c r="AN1559" s="17"/>
      <c r="AO1559" s="17"/>
      <c r="AP1559" s="17"/>
      <c r="AQ1559" s="17"/>
    </row>
    <row r="1560" spans="24:43" x14ac:dyDescent="0.45">
      <c r="X1560" s="2"/>
      <c r="Y1560" s="2"/>
      <c r="AC1560" s="13"/>
      <c r="AD1560" s="13"/>
      <c r="AE1560" s="13"/>
      <c r="AF1560" s="17"/>
      <c r="AH1560" s="2"/>
      <c r="AL1560" s="17"/>
      <c r="AM1560" s="17"/>
      <c r="AN1560" s="17"/>
      <c r="AO1560" s="17"/>
      <c r="AP1560" s="17"/>
      <c r="AQ1560" s="17"/>
    </row>
    <row r="1561" spans="24:43" x14ac:dyDescent="0.45">
      <c r="X1561" s="2"/>
      <c r="Y1561" s="2"/>
      <c r="AC1561" s="13"/>
      <c r="AD1561" s="13"/>
      <c r="AE1561" s="13"/>
      <c r="AF1561" s="17"/>
      <c r="AH1561" s="2"/>
      <c r="AL1561" s="17"/>
      <c r="AM1561" s="17"/>
      <c r="AN1561" s="17"/>
      <c r="AO1561" s="17"/>
      <c r="AP1561" s="17"/>
      <c r="AQ1561" s="17"/>
    </row>
    <row r="1562" spans="24:43" x14ac:dyDescent="0.45">
      <c r="X1562" s="2"/>
      <c r="Y1562" s="2"/>
      <c r="AC1562" s="13"/>
      <c r="AD1562" s="13"/>
      <c r="AE1562" s="13"/>
      <c r="AF1562" s="17"/>
      <c r="AH1562" s="2"/>
      <c r="AL1562" s="17"/>
      <c r="AM1562" s="17"/>
      <c r="AN1562" s="17"/>
      <c r="AO1562" s="17"/>
      <c r="AP1562" s="17"/>
      <c r="AQ1562" s="17"/>
    </row>
    <row r="1563" spans="24:43" x14ac:dyDescent="0.45">
      <c r="X1563" s="2"/>
      <c r="Y1563" s="2"/>
      <c r="AC1563" s="13"/>
      <c r="AD1563" s="13"/>
      <c r="AE1563" s="13"/>
      <c r="AF1563" s="17"/>
      <c r="AH1563" s="2"/>
      <c r="AL1563" s="17"/>
      <c r="AM1563" s="17"/>
      <c r="AN1563" s="17"/>
      <c r="AO1563" s="17"/>
      <c r="AP1563" s="17"/>
      <c r="AQ1563" s="17"/>
    </row>
    <row r="1564" spans="24:43" x14ac:dyDescent="0.45">
      <c r="X1564" s="2"/>
      <c r="Y1564" s="2"/>
      <c r="AC1564" s="13"/>
      <c r="AD1564" s="13"/>
      <c r="AE1564" s="13"/>
      <c r="AF1564" s="17"/>
      <c r="AH1564" s="2"/>
      <c r="AL1564" s="17"/>
      <c r="AM1564" s="17"/>
      <c r="AN1564" s="17"/>
      <c r="AO1564" s="17"/>
      <c r="AP1564" s="17"/>
      <c r="AQ1564" s="17"/>
    </row>
    <row r="1565" spans="24:43" x14ac:dyDescent="0.45">
      <c r="X1565" s="2"/>
      <c r="Y1565" s="2"/>
      <c r="AC1565" s="13"/>
      <c r="AD1565" s="13"/>
      <c r="AE1565" s="13"/>
      <c r="AF1565" s="17"/>
      <c r="AH1565" s="2"/>
      <c r="AL1565" s="17"/>
      <c r="AM1565" s="17"/>
      <c r="AN1565" s="17"/>
      <c r="AO1565" s="17"/>
      <c r="AP1565" s="17"/>
      <c r="AQ1565" s="17"/>
    </row>
    <row r="1566" spans="24:43" x14ac:dyDescent="0.45">
      <c r="X1566" s="2"/>
      <c r="Y1566" s="2"/>
      <c r="AC1566" s="13"/>
      <c r="AD1566" s="13"/>
      <c r="AE1566" s="13"/>
      <c r="AF1566" s="17"/>
      <c r="AH1566" s="2"/>
      <c r="AL1566" s="17"/>
      <c r="AM1566" s="17"/>
      <c r="AN1566" s="17"/>
      <c r="AO1566" s="17"/>
      <c r="AP1566" s="17"/>
      <c r="AQ1566" s="17"/>
    </row>
    <row r="1567" spans="24:43" x14ac:dyDescent="0.45">
      <c r="X1567" s="2"/>
      <c r="Y1567" s="2"/>
      <c r="AC1567" s="13"/>
      <c r="AD1567" s="13"/>
      <c r="AE1567" s="13"/>
      <c r="AF1567" s="17"/>
      <c r="AH1567" s="2"/>
      <c r="AL1567" s="17"/>
      <c r="AM1567" s="17"/>
      <c r="AN1567" s="17"/>
      <c r="AO1567" s="17"/>
      <c r="AP1567" s="17"/>
      <c r="AQ1567" s="17"/>
    </row>
    <row r="1568" spans="24:43" x14ac:dyDescent="0.45">
      <c r="X1568" s="2"/>
      <c r="Y1568" s="2"/>
      <c r="AC1568" s="13"/>
      <c r="AD1568" s="13"/>
      <c r="AE1568" s="13"/>
      <c r="AF1568" s="17"/>
      <c r="AH1568" s="2"/>
      <c r="AL1568" s="17"/>
      <c r="AM1568" s="17"/>
      <c r="AN1568" s="17"/>
      <c r="AO1568" s="17"/>
      <c r="AP1568" s="17"/>
      <c r="AQ1568" s="17"/>
    </row>
    <row r="1569" spans="24:43" x14ac:dyDescent="0.45">
      <c r="X1569" s="2"/>
      <c r="Y1569" s="2"/>
      <c r="AC1569" s="13"/>
      <c r="AD1569" s="13"/>
      <c r="AE1569" s="13"/>
      <c r="AF1569" s="17"/>
      <c r="AH1569" s="2"/>
      <c r="AL1569" s="17"/>
      <c r="AM1569" s="17"/>
      <c r="AN1569" s="17"/>
      <c r="AO1569" s="17"/>
      <c r="AP1569" s="17"/>
      <c r="AQ1569" s="17"/>
    </row>
    <row r="1570" spans="24:43" x14ac:dyDescent="0.45">
      <c r="X1570" s="2"/>
      <c r="Y1570" s="2"/>
      <c r="AC1570" s="13"/>
      <c r="AD1570" s="13"/>
      <c r="AE1570" s="13"/>
      <c r="AF1570" s="17"/>
      <c r="AH1570" s="2"/>
      <c r="AL1570" s="17"/>
      <c r="AM1570" s="17"/>
      <c r="AN1570" s="17"/>
      <c r="AO1570" s="17"/>
      <c r="AP1570" s="17"/>
      <c r="AQ1570" s="17"/>
    </row>
    <row r="1571" spans="24:43" x14ac:dyDescent="0.45">
      <c r="X1571" s="2"/>
      <c r="Y1571" s="2"/>
      <c r="AC1571" s="13"/>
      <c r="AD1571" s="13"/>
      <c r="AE1571" s="13"/>
      <c r="AF1571" s="17"/>
      <c r="AH1571" s="2"/>
      <c r="AL1571" s="17"/>
      <c r="AM1571" s="17"/>
      <c r="AN1571" s="17"/>
      <c r="AO1571" s="17"/>
      <c r="AP1571" s="17"/>
      <c r="AQ1571" s="17"/>
    </row>
    <row r="1572" spans="24:43" x14ac:dyDescent="0.45">
      <c r="X1572" s="2"/>
      <c r="Y1572" s="2"/>
      <c r="AC1572" s="13"/>
      <c r="AD1572" s="13"/>
      <c r="AE1572" s="13"/>
      <c r="AF1572" s="17"/>
      <c r="AH1572" s="2"/>
      <c r="AL1572" s="17"/>
      <c r="AM1572" s="17"/>
      <c r="AN1572" s="17"/>
      <c r="AO1572" s="17"/>
      <c r="AP1572" s="17"/>
      <c r="AQ1572" s="17"/>
    </row>
    <row r="1573" spans="24:43" x14ac:dyDescent="0.45">
      <c r="X1573" s="2"/>
      <c r="Y1573" s="2"/>
      <c r="AC1573" s="13"/>
      <c r="AD1573" s="13"/>
      <c r="AE1573" s="13"/>
      <c r="AF1573" s="17"/>
      <c r="AH1573" s="2"/>
      <c r="AL1573" s="17"/>
      <c r="AM1573" s="17"/>
      <c r="AN1573" s="17"/>
      <c r="AO1573" s="17"/>
      <c r="AP1573" s="17"/>
      <c r="AQ1573" s="17"/>
    </row>
    <row r="1574" spans="24:43" x14ac:dyDescent="0.45">
      <c r="X1574" s="2"/>
      <c r="Y1574" s="2"/>
      <c r="AC1574" s="13"/>
      <c r="AD1574" s="13"/>
      <c r="AE1574" s="13"/>
      <c r="AF1574" s="17"/>
      <c r="AH1574" s="2"/>
      <c r="AL1574" s="17"/>
      <c r="AM1574" s="17"/>
      <c r="AN1574" s="17"/>
      <c r="AO1574" s="17"/>
      <c r="AP1574" s="17"/>
      <c r="AQ1574" s="17"/>
    </row>
    <row r="1575" spans="24:43" x14ac:dyDescent="0.45">
      <c r="X1575" s="2"/>
      <c r="Y1575" s="2"/>
      <c r="AC1575" s="13"/>
      <c r="AD1575" s="13"/>
      <c r="AE1575" s="13"/>
      <c r="AF1575" s="17"/>
      <c r="AH1575" s="2"/>
      <c r="AL1575" s="17"/>
      <c r="AM1575" s="17"/>
      <c r="AN1575" s="17"/>
      <c r="AO1575" s="17"/>
      <c r="AP1575" s="17"/>
      <c r="AQ1575" s="17"/>
    </row>
    <row r="1576" spans="24:43" x14ac:dyDescent="0.45">
      <c r="X1576" s="2"/>
      <c r="Y1576" s="2"/>
      <c r="AC1576" s="13"/>
      <c r="AD1576" s="13"/>
      <c r="AE1576" s="13"/>
      <c r="AF1576" s="17"/>
      <c r="AH1576" s="2"/>
      <c r="AL1576" s="17"/>
      <c r="AM1576" s="17"/>
      <c r="AN1576" s="17"/>
      <c r="AO1576" s="17"/>
      <c r="AP1576" s="17"/>
      <c r="AQ1576" s="17"/>
    </row>
    <row r="1577" spans="24:43" x14ac:dyDescent="0.45">
      <c r="X1577" s="2"/>
      <c r="Y1577" s="2"/>
      <c r="AC1577" s="13"/>
      <c r="AD1577" s="13"/>
      <c r="AE1577" s="13"/>
      <c r="AF1577" s="17"/>
      <c r="AH1577" s="2"/>
      <c r="AL1577" s="17"/>
      <c r="AM1577" s="17"/>
      <c r="AN1577" s="17"/>
      <c r="AO1577" s="17"/>
      <c r="AP1577" s="17"/>
      <c r="AQ1577" s="17"/>
    </row>
    <row r="1578" spans="24:43" x14ac:dyDescent="0.45">
      <c r="X1578" s="2"/>
      <c r="Y1578" s="2"/>
      <c r="AC1578" s="13"/>
      <c r="AD1578" s="13"/>
      <c r="AE1578" s="13"/>
      <c r="AF1578" s="17"/>
      <c r="AH1578" s="2"/>
      <c r="AL1578" s="17"/>
      <c r="AM1578" s="17"/>
      <c r="AN1578" s="17"/>
      <c r="AO1578" s="17"/>
      <c r="AP1578" s="17"/>
      <c r="AQ1578" s="17"/>
    </row>
    <row r="1579" spans="24:43" x14ac:dyDescent="0.45">
      <c r="X1579" s="2"/>
      <c r="Y1579" s="2"/>
      <c r="AC1579" s="13"/>
      <c r="AD1579" s="13"/>
      <c r="AE1579" s="13"/>
      <c r="AF1579" s="17"/>
      <c r="AH1579" s="2"/>
      <c r="AL1579" s="17"/>
      <c r="AM1579" s="17"/>
      <c r="AN1579" s="17"/>
      <c r="AO1579" s="17"/>
      <c r="AP1579" s="17"/>
      <c r="AQ1579" s="17"/>
    </row>
    <row r="1580" spans="24:43" x14ac:dyDescent="0.45">
      <c r="X1580" s="2"/>
      <c r="Y1580" s="2"/>
      <c r="AC1580" s="13"/>
      <c r="AD1580" s="13"/>
      <c r="AE1580" s="13"/>
      <c r="AF1580" s="17"/>
      <c r="AH1580" s="2"/>
      <c r="AL1580" s="17"/>
      <c r="AM1580" s="17"/>
      <c r="AN1580" s="17"/>
      <c r="AO1580" s="17"/>
      <c r="AP1580" s="17"/>
      <c r="AQ1580" s="17"/>
    </row>
    <row r="1581" spans="24:43" x14ac:dyDescent="0.45">
      <c r="X1581" s="2"/>
      <c r="Y1581" s="2"/>
      <c r="AC1581" s="13"/>
      <c r="AD1581" s="13"/>
      <c r="AE1581" s="13"/>
      <c r="AF1581" s="17"/>
      <c r="AH1581" s="2"/>
      <c r="AL1581" s="17"/>
      <c r="AM1581" s="17"/>
      <c r="AN1581" s="17"/>
      <c r="AO1581" s="17"/>
      <c r="AP1581" s="17"/>
      <c r="AQ1581" s="17"/>
    </row>
    <row r="1582" spans="24:43" x14ac:dyDescent="0.45">
      <c r="X1582" s="2"/>
      <c r="Y1582" s="2"/>
      <c r="AC1582" s="13"/>
      <c r="AD1582" s="13"/>
      <c r="AE1582" s="13"/>
      <c r="AF1582" s="17"/>
      <c r="AH1582" s="2"/>
      <c r="AL1582" s="17"/>
      <c r="AM1582" s="17"/>
      <c r="AN1582" s="17"/>
      <c r="AO1582" s="17"/>
      <c r="AP1582" s="17"/>
      <c r="AQ1582" s="17"/>
    </row>
    <row r="1583" spans="24:43" x14ac:dyDescent="0.45">
      <c r="X1583" s="2"/>
      <c r="Y1583" s="2"/>
      <c r="AC1583" s="13"/>
      <c r="AD1583" s="13"/>
      <c r="AE1583" s="13"/>
      <c r="AF1583" s="17"/>
      <c r="AH1583" s="2"/>
      <c r="AL1583" s="17"/>
      <c r="AM1583" s="17"/>
      <c r="AN1583" s="17"/>
      <c r="AO1583" s="17"/>
      <c r="AP1583" s="17"/>
      <c r="AQ1583" s="17"/>
    </row>
    <row r="1584" spans="24:43" x14ac:dyDescent="0.45">
      <c r="X1584" s="2"/>
      <c r="Y1584" s="2"/>
      <c r="AC1584" s="13"/>
      <c r="AD1584" s="13"/>
      <c r="AE1584" s="13"/>
      <c r="AF1584" s="17"/>
      <c r="AH1584" s="2"/>
      <c r="AL1584" s="17"/>
      <c r="AM1584" s="17"/>
      <c r="AN1584" s="17"/>
      <c r="AO1584" s="17"/>
      <c r="AP1584" s="17"/>
      <c r="AQ1584" s="17"/>
    </row>
    <row r="1585" spans="24:43" x14ac:dyDescent="0.45">
      <c r="X1585" s="2"/>
      <c r="Y1585" s="2"/>
      <c r="AC1585" s="13"/>
      <c r="AD1585" s="13"/>
      <c r="AE1585" s="13"/>
      <c r="AF1585" s="17"/>
      <c r="AH1585" s="2"/>
      <c r="AL1585" s="17"/>
      <c r="AM1585" s="17"/>
      <c r="AN1585" s="17"/>
      <c r="AO1585" s="17"/>
      <c r="AP1585" s="17"/>
      <c r="AQ1585" s="17"/>
    </row>
    <row r="1586" spans="24:43" x14ac:dyDescent="0.45">
      <c r="X1586" s="2"/>
      <c r="Y1586" s="2"/>
      <c r="AC1586" s="13"/>
      <c r="AD1586" s="13"/>
      <c r="AE1586" s="13"/>
      <c r="AF1586" s="17"/>
      <c r="AH1586" s="2"/>
      <c r="AL1586" s="17"/>
      <c r="AM1586" s="17"/>
      <c r="AN1586" s="17"/>
      <c r="AO1586" s="17"/>
      <c r="AP1586" s="17"/>
      <c r="AQ1586" s="17"/>
    </row>
    <row r="1587" spans="24:43" x14ac:dyDescent="0.45">
      <c r="X1587" s="2"/>
      <c r="Y1587" s="2"/>
      <c r="AC1587" s="13"/>
      <c r="AD1587" s="13"/>
      <c r="AE1587" s="13"/>
      <c r="AF1587" s="17"/>
      <c r="AH1587" s="2"/>
      <c r="AL1587" s="17"/>
      <c r="AM1587" s="17"/>
      <c r="AN1587" s="17"/>
      <c r="AO1587" s="17"/>
      <c r="AP1587" s="17"/>
      <c r="AQ1587" s="17"/>
    </row>
    <row r="1588" spans="24:43" x14ac:dyDescent="0.45">
      <c r="X1588" s="2"/>
      <c r="Y1588" s="2"/>
      <c r="AC1588" s="13"/>
      <c r="AD1588" s="13"/>
      <c r="AE1588" s="13"/>
      <c r="AF1588" s="17"/>
      <c r="AH1588" s="2"/>
      <c r="AL1588" s="17"/>
      <c r="AM1588" s="17"/>
      <c r="AN1588" s="17"/>
      <c r="AO1588" s="17"/>
      <c r="AP1588" s="17"/>
      <c r="AQ1588" s="17"/>
    </row>
    <row r="1589" spans="24:43" x14ac:dyDescent="0.45">
      <c r="X1589" s="2"/>
      <c r="Y1589" s="2"/>
      <c r="AC1589" s="13"/>
      <c r="AD1589" s="13"/>
      <c r="AE1589" s="13"/>
      <c r="AF1589" s="17"/>
      <c r="AH1589" s="2"/>
      <c r="AL1589" s="17"/>
      <c r="AM1589" s="17"/>
      <c r="AN1589" s="17"/>
      <c r="AO1589" s="17"/>
      <c r="AP1589" s="17"/>
      <c r="AQ1589" s="17"/>
    </row>
    <row r="1590" spans="24:43" x14ac:dyDescent="0.45">
      <c r="X1590" s="2"/>
      <c r="Y1590" s="2"/>
      <c r="AC1590" s="13"/>
      <c r="AD1590" s="13"/>
      <c r="AE1590" s="13"/>
      <c r="AF1590" s="17"/>
      <c r="AH1590" s="2"/>
      <c r="AL1590" s="17"/>
      <c r="AM1590" s="17"/>
      <c r="AN1590" s="17"/>
      <c r="AO1590" s="17"/>
      <c r="AP1590" s="17"/>
      <c r="AQ1590" s="17"/>
    </row>
    <row r="1591" spans="24:43" x14ac:dyDescent="0.45">
      <c r="X1591" s="2"/>
      <c r="Y1591" s="2"/>
      <c r="AC1591" s="13"/>
      <c r="AD1591" s="13"/>
      <c r="AE1591" s="13"/>
      <c r="AF1591" s="17"/>
      <c r="AH1591" s="2"/>
      <c r="AL1591" s="17"/>
      <c r="AM1591" s="17"/>
      <c r="AN1591" s="17"/>
      <c r="AO1591" s="17"/>
      <c r="AP1591" s="17"/>
      <c r="AQ1591" s="17"/>
    </row>
    <row r="1592" spans="24:43" x14ac:dyDescent="0.45">
      <c r="X1592" s="2"/>
      <c r="Y1592" s="2"/>
      <c r="AC1592" s="13"/>
      <c r="AD1592" s="13"/>
      <c r="AE1592" s="13"/>
      <c r="AF1592" s="17"/>
      <c r="AH1592" s="2"/>
      <c r="AL1592" s="17"/>
      <c r="AM1592" s="17"/>
      <c r="AN1592" s="17"/>
      <c r="AO1592" s="17"/>
      <c r="AP1592" s="17"/>
      <c r="AQ1592" s="17"/>
    </row>
    <row r="1593" spans="24:43" x14ac:dyDescent="0.45">
      <c r="X1593" s="2"/>
      <c r="Y1593" s="2"/>
      <c r="AC1593" s="13"/>
      <c r="AD1593" s="13"/>
      <c r="AE1593" s="13"/>
      <c r="AF1593" s="17"/>
      <c r="AH1593" s="2"/>
      <c r="AL1593" s="17"/>
      <c r="AM1593" s="17"/>
      <c r="AN1593" s="17"/>
      <c r="AO1593" s="17"/>
      <c r="AP1593" s="17"/>
      <c r="AQ1593" s="17"/>
    </row>
    <row r="1594" spans="24:43" x14ac:dyDescent="0.45">
      <c r="X1594" s="2"/>
      <c r="Y1594" s="2"/>
      <c r="AC1594" s="13"/>
      <c r="AD1594" s="13"/>
      <c r="AE1594" s="13"/>
      <c r="AF1594" s="17"/>
      <c r="AH1594" s="2"/>
      <c r="AL1594" s="17"/>
      <c r="AM1594" s="17"/>
      <c r="AN1594" s="17"/>
      <c r="AO1594" s="17"/>
      <c r="AP1594" s="17"/>
      <c r="AQ1594" s="17"/>
    </row>
    <row r="1595" spans="24:43" x14ac:dyDescent="0.45">
      <c r="X1595" s="2"/>
      <c r="Y1595" s="2"/>
      <c r="AC1595" s="13"/>
      <c r="AD1595" s="13"/>
      <c r="AE1595" s="13"/>
      <c r="AF1595" s="17"/>
      <c r="AH1595" s="2"/>
      <c r="AL1595" s="17"/>
      <c r="AM1595" s="17"/>
      <c r="AN1595" s="17"/>
      <c r="AO1595" s="17"/>
      <c r="AP1595" s="17"/>
      <c r="AQ1595" s="17"/>
    </row>
    <row r="1596" spans="24:43" x14ac:dyDescent="0.45">
      <c r="X1596" s="2"/>
      <c r="Y1596" s="2"/>
      <c r="AC1596" s="13"/>
      <c r="AD1596" s="13"/>
      <c r="AE1596" s="13"/>
      <c r="AF1596" s="17"/>
      <c r="AH1596" s="2"/>
      <c r="AL1596" s="17"/>
      <c r="AM1596" s="17"/>
      <c r="AN1596" s="17"/>
      <c r="AO1596" s="17"/>
      <c r="AP1596" s="17"/>
      <c r="AQ1596" s="17"/>
    </row>
    <row r="1597" spans="24:43" x14ac:dyDescent="0.45">
      <c r="X1597" s="2"/>
      <c r="Y1597" s="2"/>
      <c r="AC1597" s="13"/>
      <c r="AD1597" s="13"/>
      <c r="AE1597" s="13"/>
      <c r="AF1597" s="17"/>
      <c r="AH1597" s="2"/>
      <c r="AL1597" s="17"/>
      <c r="AM1597" s="17"/>
      <c r="AN1597" s="17"/>
      <c r="AO1597" s="17"/>
      <c r="AP1597" s="17"/>
      <c r="AQ1597" s="17"/>
    </row>
    <row r="1598" spans="24:43" x14ac:dyDescent="0.45">
      <c r="X1598" s="2"/>
      <c r="Y1598" s="2"/>
      <c r="AC1598" s="13"/>
      <c r="AD1598" s="13"/>
      <c r="AE1598" s="13"/>
      <c r="AF1598" s="17"/>
      <c r="AH1598" s="2"/>
      <c r="AL1598" s="17"/>
      <c r="AM1598" s="17"/>
      <c r="AN1598" s="17"/>
      <c r="AO1598" s="17"/>
      <c r="AP1598" s="17"/>
      <c r="AQ1598" s="17"/>
    </row>
    <row r="1599" spans="24:43" x14ac:dyDescent="0.45">
      <c r="X1599" s="2"/>
      <c r="Y1599" s="2"/>
      <c r="AC1599" s="13"/>
      <c r="AD1599" s="13"/>
      <c r="AE1599" s="13"/>
      <c r="AF1599" s="17"/>
      <c r="AH1599" s="2"/>
      <c r="AL1599" s="17"/>
      <c r="AM1599" s="17"/>
      <c r="AN1599" s="17"/>
      <c r="AO1599" s="17"/>
      <c r="AP1599" s="17"/>
      <c r="AQ1599" s="17"/>
    </row>
    <row r="1600" spans="24:43" x14ac:dyDescent="0.45">
      <c r="X1600" s="2"/>
      <c r="Y1600" s="2"/>
      <c r="AC1600" s="13"/>
      <c r="AD1600" s="13"/>
      <c r="AE1600" s="13"/>
      <c r="AF1600" s="17"/>
      <c r="AH1600" s="2"/>
      <c r="AL1600" s="17"/>
      <c r="AM1600" s="17"/>
      <c r="AN1600" s="17"/>
      <c r="AO1600" s="17"/>
      <c r="AP1600" s="17"/>
      <c r="AQ1600" s="17"/>
    </row>
    <row r="1601" spans="24:43" x14ac:dyDescent="0.45">
      <c r="X1601" s="2"/>
      <c r="Y1601" s="2"/>
      <c r="AC1601" s="13"/>
      <c r="AD1601" s="13"/>
      <c r="AE1601" s="13"/>
      <c r="AF1601" s="17"/>
      <c r="AH1601" s="2"/>
      <c r="AL1601" s="17"/>
      <c r="AM1601" s="17"/>
      <c r="AN1601" s="17"/>
      <c r="AO1601" s="17"/>
      <c r="AP1601" s="17"/>
      <c r="AQ1601" s="17"/>
    </row>
    <row r="1602" spans="24:43" x14ac:dyDescent="0.45">
      <c r="X1602" s="2"/>
      <c r="Y1602" s="2"/>
      <c r="AC1602" s="13"/>
      <c r="AD1602" s="13"/>
      <c r="AE1602" s="13"/>
      <c r="AF1602" s="17"/>
      <c r="AH1602" s="2"/>
      <c r="AL1602" s="17"/>
      <c r="AM1602" s="17"/>
      <c r="AN1602" s="17"/>
      <c r="AO1602" s="17"/>
      <c r="AP1602" s="17"/>
      <c r="AQ1602" s="17"/>
    </row>
    <row r="1603" spans="24:43" x14ac:dyDescent="0.45">
      <c r="X1603" s="2"/>
      <c r="Y1603" s="2"/>
      <c r="AC1603" s="13"/>
      <c r="AD1603" s="13"/>
      <c r="AE1603" s="13"/>
      <c r="AF1603" s="17"/>
      <c r="AH1603" s="2"/>
      <c r="AL1603" s="17"/>
      <c r="AM1603" s="17"/>
      <c r="AN1603" s="17"/>
      <c r="AO1603" s="17"/>
      <c r="AP1603" s="17"/>
      <c r="AQ1603" s="17"/>
    </row>
    <row r="1604" spans="24:43" x14ac:dyDescent="0.45">
      <c r="X1604" s="2"/>
      <c r="Y1604" s="2"/>
      <c r="AC1604" s="13"/>
      <c r="AD1604" s="13"/>
      <c r="AE1604" s="13"/>
      <c r="AF1604" s="17"/>
      <c r="AH1604" s="2"/>
      <c r="AL1604" s="17"/>
      <c r="AM1604" s="17"/>
      <c r="AN1604" s="17"/>
      <c r="AO1604" s="17"/>
      <c r="AP1604" s="17"/>
      <c r="AQ1604" s="17"/>
    </row>
    <row r="1605" spans="24:43" x14ac:dyDescent="0.45">
      <c r="X1605" s="2"/>
      <c r="Y1605" s="2"/>
      <c r="AC1605" s="13"/>
      <c r="AD1605" s="13"/>
      <c r="AE1605" s="13"/>
      <c r="AF1605" s="17"/>
      <c r="AH1605" s="2"/>
      <c r="AL1605" s="17"/>
      <c r="AM1605" s="17"/>
      <c r="AN1605" s="17"/>
      <c r="AO1605" s="17"/>
      <c r="AP1605" s="17"/>
      <c r="AQ1605" s="17"/>
    </row>
    <row r="1606" spans="24:43" x14ac:dyDescent="0.45">
      <c r="X1606" s="2"/>
      <c r="Y1606" s="2"/>
      <c r="AC1606" s="13"/>
      <c r="AD1606" s="13"/>
      <c r="AE1606" s="13"/>
      <c r="AF1606" s="17"/>
      <c r="AH1606" s="2"/>
      <c r="AL1606" s="17"/>
      <c r="AM1606" s="17"/>
      <c r="AN1606" s="17"/>
      <c r="AO1606" s="17"/>
      <c r="AP1606" s="17"/>
      <c r="AQ1606" s="17"/>
    </row>
    <row r="1607" spans="24:43" x14ac:dyDescent="0.45">
      <c r="X1607" s="2"/>
      <c r="Y1607" s="2"/>
      <c r="AC1607" s="13"/>
      <c r="AD1607" s="13"/>
      <c r="AE1607" s="13"/>
      <c r="AF1607" s="17"/>
      <c r="AH1607" s="2"/>
      <c r="AL1607" s="17"/>
      <c r="AM1607" s="17"/>
      <c r="AN1607" s="17"/>
      <c r="AO1607" s="17"/>
      <c r="AP1607" s="17"/>
      <c r="AQ1607" s="17"/>
    </row>
    <row r="1608" spans="24:43" x14ac:dyDescent="0.45">
      <c r="X1608" s="2"/>
      <c r="Y1608" s="2"/>
      <c r="AC1608" s="13"/>
      <c r="AD1608" s="13"/>
      <c r="AE1608" s="13"/>
      <c r="AF1608" s="17"/>
      <c r="AH1608" s="2"/>
      <c r="AL1608" s="17"/>
      <c r="AM1608" s="17"/>
      <c r="AN1608" s="17"/>
      <c r="AO1608" s="17"/>
      <c r="AP1608" s="17"/>
      <c r="AQ1608" s="17"/>
    </row>
    <row r="1609" spans="24:43" x14ac:dyDescent="0.45">
      <c r="X1609" s="2"/>
      <c r="Y1609" s="2"/>
      <c r="AC1609" s="13"/>
      <c r="AD1609" s="13"/>
      <c r="AE1609" s="13"/>
      <c r="AF1609" s="17"/>
      <c r="AH1609" s="2"/>
      <c r="AL1609" s="17"/>
      <c r="AM1609" s="17"/>
      <c r="AN1609" s="17"/>
      <c r="AO1609" s="17"/>
      <c r="AP1609" s="17"/>
      <c r="AQ1609" s="17"/>
    </row>
    <row r="1610" spans="24:43" x14ac:dyDescent="0.45">
      <c r="X1610" s="2"/>
      <c r="Y1610" s="2"/>
      <c r="AC1610" s="13"/>
      <c r="AD1610" s="13"/>
      <c r="AE1610" s="13"/>
      <c r="AF1610" s="17"/>
      <c r="AH1610" s="2"/>
      <c r="AL1610" s="17"/>
      <c r="AM1610" s="17"/>
      <c r="AN1610" s="17"/>
      <c r="AO1610" s="17"/>
      <c r="AP1610" s="17"/>
      <c r="AQ1610" s="17"/>
    </row>
    <row r="1611" spans="24:43" x14ac:dyDescent="0.45">
      <c r="X1611" s="2"/>
      <c r="Y1611" s="2"/>
      <c r="AC1611" s="13"/>
      <c r="AD1611" s="13"/>
      <c r="AE1611" s="13"/>
      <c r="AF1611" s="17"/>
      <c r="AH1611" s="2"/>
      <c r="AL1611" s="17"/>
      <c r="AM1611" s="17"/>
      <c r="AN1611" s="17"/>
      <c r="AO1611" s="17"/>
      <c r="AP1611" s="17"/>
      <c r="AQ1611" s="17"/>
    </row>
    <row r="1612" spans="24:43" x14ac:dyDescent="0.45">
      <c r="X1612" s="2"/>
      <c r="Y1612" s="2"/>
      <c r="AC1612" s="13"/>
      <c r="AD1612" s="13"/>
      <c r="AE1612" s="13"/>
      <c r="AF1612" s="17"/>
      <c r="AH1612" s="2"/>
      <c r="AL1612" s="17"/>
      <c r="AM1612" s="17"/>
      <c r="AN1612" s="17"/>
      <c r="AO1612" s="17"/>
      <c r="AP1612" s="17"/>
      <c r="AQ1612" s="17"/>
    </row>
    <row r="1613" spans="24:43" x14ac:dyDescent="0.45">
      <c r="X1613" s="2"/>
      <c r="Y1613" s="2"/>
      <c r="AC1613" s="13"/>
      <c r="AD1613" s="13"/>
      <c r="AE1613" s="13"/>
      <c r="AF1613" s="17"/>
      <c r="AH1613" s="2"/>
      <c r="AL1613" s="17"/>
      <c r="AM1613" s="17"/>
      <c r="AN1613" s="17"/>
      <c r="AO1613" s="17"/>
      <c r="AP1613" s="17"/>
      <c r="AQ1613" s="17"/>
    </row>
    <row r="1614" spans="24:43" x14ac:dyDescent="0.45">
      <c r="X1614" s="2"/>
      <c r="Y1614" s="2"/>
      <c r="AC1614" s="13"/>
      <c r="AD1614" s="13"/>
      <c r="AE1614" s="13"/>
      <c r="AF1614" s="17"/>
      <c r="AH1614" s="2"/>
      <c r="AL1614" s="17"/>
      <c r="AM1614" s="17"/>
      <c r="AN1614" s="17"/>
      <c r="AO1614" s="17"/>
      <c r="AP1614" s="17"/>
      <c r="AQ1614" s="17"/>
    </row>
    <row r="1615" spans="24:43" x14ac:dyDescent="0.45">
      <c r="X1615" s="2"/>
      <c r="Y1615" s="2"/>
      <c r="AC1615" s="13"/>
      <c r="AD1615" s="13"/>
      <c r="AE1615" s="13"/>
      <c r="AF1615" s="17"/>
      <c r="AH1615" s="2"/>
      <c r="AL1615" s="17"/>
      <c r="AM1615" s="17"/>
      <c r="AN1615" s="17"/>
      <c r="AO1615" s="17"/>
      <c r="AP1615" s="17"/>
      <c r="AQ1615" s="17"/>
    </row>
    <row r="1616" spans="24:43" x14ac:dyDescent="0.45">
      <c r="X1616" s="2"/>
      <c r="Y1616" s="2"/>
      <c r="AC1616" s="13"/>
      <c r="AD1616" s="13"/>
      <c r="AE1616" s="13"/>
      <c r="AF1616" s="17"/>
      <c r="AH1616" s="2"/>
      <c r="AL1616" s="17"/>
      <c r="AM1616" s="17"/>
      <c r="AN1616" s="17"/>
      <c r="AO1616" s="17"/>
      <c r="AP1616" s="17"/>
      <c r="AQ1616" s="17"/>
    </row>
    <row r="1617" spans="24:43" x14ac:dyDescent="0.45">
      <c r="X1617" s="2"/>
      <c r="Y1617" s="2"/>
      <c r="AC1617" s="13"/>
      <c r="AD1617" s="13"/>
      <c r="AE1617" s="13"/>
      <c r="AF1617" s="17"/>
      <c r="AH1617" s="2"/>
      <c r="AL1617" s="17"/>
      <c r="AM1617" s="17"/>
      <c r="AN1617" s="17"/>
      <c r="AO1617" s="17"/>
      <c r="AP1617" s="17"/>
      <c r="AQ1617" s="17"/>
    </row>
    <row r="1618" spans="24:43" x14ac:dyDescent="0.45">
      <c r="X1618" s="2"/>
      <c r="Y1618" s="2"/>
      <c r="AC1618" s="13"/>
      <c r="AD1618" s="13"/>
      <c r="AE1618" s="13"/>
      <c r="AF1618" s="17"/>
      <c r="AH1618" s="2"/>
      <c r="AL1618" s="17"/>
      <c r="AM1618" s="17"/>
      <c r="AN1618" s="17"/>
      <c r="AO1618" s="17"/>
      <c r="AP1618" s="17"/>
      <c r="AQ1618" s="17"/>
    </row>
    <row r="1619" spans="24:43" x14ac:dyDescent="0.45">
      <c r="X1619" s="2"/>
      <c r="Y1619" s="2"/>
      <c r="AC1619" s="13"/>
      <c r="AD1619" s="13"/>
      <c r="AE1619" s="13"/>
      <c r="AF1619" s="17"/>
      <c r="AH1619" s="2"/>
      <c r="AL1619" s="17"/>
      <c r="AM1619" s="17"/>
      <c r="AN1619" s="17"/>
      <c r="AO1619" s="17"/>
      <c r="AP1619" s="17"/>
      <c r="AQ1619" s="17"/>
    </row>
    <row r="1620" spans="24:43" x14ac:dyDescent="0.45">
      <c r="X1620" s="2"/>
      <c r="Y1620" s="2"/>
      <c r="AC1620" s="13"/>
      <c r="AD1620" s="13"/>
      <c r="AE1620" s="13"/>
      <c r="AF1620" s="17"/>
      <c r="AH1620" s="2"/>
      <c r="AL1620" s="17"/>
      <c r="AM1620" s="17"/>
      <c r="AN1620" s="17"/>
      <c r="AO1620" s="17"/>
      <c r="AP1620" s="17"/>
      <c r="AQ1620" s="17"/>
    </row>
    <row r="1621" spans="24:43" x14ac:dyDescent="0.45">
      <c r="X1621" s="2"/>
      <c r="Y1621" s="2"/>
      <c r="AC1621" s="13"/>
      <c r="AD1621" s="13"/>
      <c r="AE1621" s="13"/>
      <c r="AF1621" s="17"/>
      <c r="AH1621" s="2"/>
      <c r="AL1621" s="17"/>
      <c r="AM1621" s="17"/>
      <c r="AN1621" s="17"/>
      <c r="AO1621" s="17"/>
      <c r="AP1621" s="17"/>
      <c r="AQ1621" s="17"/>
    </row>
    <row r="1622" spans="24:43" x14ac:dyDescent="0.45">
      <c r="X1622" s="2"/>
      <c r="Y1622" s="2"/>
      <c r="AC1622" s="13"/>
      <c r="AD1622" s="13"/>
      <c r="AE1622" s="13"/>
      <c r="AF1622" s="17"/>
      <c r="AH1622" s="2"/>
      <c r="AL1622" s="17"/>
      <c r="AM1622" s="17"/>
      <c r="AN1622" s="17"/>
      <c r="AO1622" s="17"/>
      <c r="AP1622" s="17"/>
      <c r="AQ1622" s="17"/>
    </row>
    <row r="1623" spans="24:43" x14ac:dyDescent="0.45">
      <c r="X1623" s="2"/>
      <c r="Y1623" s="2"/>
      <c r="AC1623" s="13"/>
      <c r="AD1623" s="13"/>
      <c r="AE1623" s="13"/>
      <c r="AF1623" s="17"/>
      <c r="AH1623" s="2"/>
      <c r="AL1623" s="17"/>
      <c r="AM1623" s="17"/>
      <c r="AN1623" s="17"/>
      <c r="AO1623" s="17"/>
      <c r="AP1623" s="17"/>
      <c r="AQ1623" s="17"/>
    </row>
    <row r="1624" spans="24:43" x14ac:dyDescent="0.45">
      <c r="X1624" s="2"/>
      <c r="Y1624" s="2"/>
      <c r="AC1624" s="13"/>
      <c r="AD1624" s="13"/>
      <c r="AE1624" s="13"/>
      <c r="AF1624" s="17"/>
      <c r="AH1624" s="2"/>
      <c r="AL1624" s="17"/>
      <c r="AM1624" s="17"/>
      <c r="AN1624" s="17"/>
      <c r="AO1624" s="17"/>
      <c r="AP1624" s="17"/>
      <c r="AQ1624" s="17"/>
    </row>
    <row r="1625" spans="24:43" x14ac:dyDescent="0.45">
      <c r="X1625" s="2"/>
      <c r="Y1625" s="2"/>
      <c r="AC1625" s="13"/>
      <c r="AD1625" s="13"/>
      <c r="AE1625" s="13"/>
      <c r="AF1625" s="17"/>
      <c r="AH1625" s="2"/>
      <c r="AL1625" s="17"/>
      <c r="AM1625" s="17"/>
      <c r="AN1625" s="17"/>
      <c r="AO1625" s="17"/>
      <c r="AP1625" s="17"/>
      <c r="AQ1625" s="17"/>
    </row>
    <row r="1626" spans="24:43" x14ac:dyDescent="0.45">
      <c r="X1626" s="2"/>
      <c r="Y1626" s="2"/>
      <c r="AC1626" s="13"/>
      <c r="AD1626" s="13"/>
      <c r="AE1626" s="13"/>
      <c r="AF1626" s="17"/>
      <c r="AH1626" s="2"/>
      <c r="AL1626" s="17"/>
      <c r="AM1626" s="17"/>
      <c r="AN1626" s="17"/>
      <c r="AO1626" s="17"/>
      <c r="AP1626" s="17"/>
      <c r="AQ1626" s="17"/>
    </row>
    <row r="1627" spans="24:43" x14ac:dyDescent="0.45">
      <c r="X1627" s="2"/>
      <c r="Y1627" s="2"/>
      <c r="AC1627" s="13"/>
      <c r="AD1627" s="13"/>
      <c r="AE1627" s="13"/>
      <c r="AF1627" s="17"/>
      <c r="AH1627" s="2"/>
      <c r="AL1627" s="17"/>
      <c r="AM1627" s="17"/>
      <c r="AN1627" s="17"/>
      <c r="AO1627" s="17"/>
      <c r="AP1627" s="17"/>
      <c r="AQ1627" s="17"/>
    </row>
    <row r="1628" spans="24:43" x14ac:dyDescent="0.45">
      <c r="X1628" s="2"/>
      <c r="Y1628" s="2"/>
      <c r="AC1628" s="13"/>
      <c r="AD1628" s="13"/>
      <c r="AE1628" s="13"/>
      <c r="AF1628" s="17"/>
      <c r="AH1628" s="2"/>
      <c r="AL1628" s="17"/>
      <c r="AM1628" s="17"/>
      <c r="AN1628" s="17"/>
      <c r="AO1628" s="17"/>
      <c r="AP1628" s="17"/>
      <c r="AQ1628" s="17"/>
    </row>
    <row r="1629" spans="24:43" x14ac:dyDescent="0.45">
      <c r="X1629" s="2"/>
      <c r="Y1629" s="2"/>
      <c r="AC1629" s="13"/>
      <c r="AD1629" s="13"/>
      <c r="AE1629" s="13"/>
      <c r="AF1629" s="17"/>
      <c r="AH1629" s="2"/>
      <c r="AL1629" s="17"/>
      <c r="AM1629" s="17"/>
      <c r="AN1629" s="17"/>
      <c r="AO1629" s="17"/>
      <c r="AP1629" s="17"/>
      <c r="AQ1629" s="17"/>
    </row>
    <row r="1630" spans="24:43" x14ac:dyDescent="0.45">
      <c r="X1630" s="2"/>
      <c r="Y1630" s="2"/>
      <c r="AC1630" s="13"/>
      <c r="AD1630" s="13"/>
      <c r="AE1630" s="13"/>
      <c r="AF1630" s="17"/>
      <c r="AH1630" s="2"/>
      <c r="AL1630" s="17"/>
      <c r="AM1630" s="17"/>
      <c r="AN1630" s="17"/>
      <c r="AO1630" s="17"/>
      <c r="AP1630" s="17"/>
      <c r="AQ1630" s="17"/>
    </row>
    <row r="1631" spans="24:43" x14ac:dyDescent="0.45">
      <c r="X1631" s="2"/>
      <c r="Y1631" s="2"/>
      <c r="AC1631" s="13"/>
      <c r="AD1631" s="13"/>
      <c r="AE1631" s="13"/>
      <c r="AF1631" s="17"/>
      <c r="AH1631" s="2"/>
      <c r="AL1631" s="17"/>
      <c r="AM1631" s="17"/>
      <c r="AN1631" s="17"/>
      <c r="AO1631" s="17"/>
      <c r="AP1631" s="17"/>
      <c r="AQ1631" s="17"/>
    </row>
    <row r="1632" spans="24:43" x14ac:dyDescent="0.45">
      <c r="X1632" s="2"/>
      <c r="Y1632" s="2"/>
      <c r="AC1632" s="13"/>
      <c r="AD1632" s="13"/>
      <c r="AE1632" s="13"/>
      <c r="AF1632" s="17"/>
      <c r="AH1632" s="2"/>
      <c r="AL1632" s="17"/>
      <c r="AM1632" s="17"/>
      <c r="AN1632" s="17"/>
      <c r="AO1632" s="17"/>
      <c r="AP1632" s="17"/>
      <c r="AQ1632" s="17"/>
    </row>
    <row r="1633" spans="24:43" x14ac:dyDescent="0.45">
      <c r="X1633" s="2"/>
      <c r="Y1633" s="2"/>
      <c r="AC1633" s="13"/>
      <c r="AD1633" s="13"/>
      <c r="AE1633" s="13"/>
      <c r="AF1633" s="17"/>
      <c r="AH1633" s="2"/>
      <c r="AL1633" s="17"/>
      <c r="AM1633" s="17"/>
      <c r="AN1633" s="17"/>
      <c r="AO1633" s="17"/>
      <c r="AP1633" s="17"/>
      <c r="AQ1633" s="17"/>
    </row>
    <row r="1634" spans="24:43" x14ac:dyDescent="0.45">
      <c r="X1634" s="2"/>
      <c r="Y1634" s="2"/>
      <c r="AC1634" s="13"/>
      <c r="AD1634" s="13"/>
      <c r="AE1634" s="13"/>
      <c r="AF1634" s="17"/>
      <c r="AH1634" s="2"/>
      <c r="AL1634" s="17"/>
      <c r="AM1634" s="17"/>
      <c r="AN1634" s="17"/>
      <c r="AO1634" s="17"/>
      <c r="AP1634" s="17"/>
      <c r="AQ1634" s="17"/>
    </row>
    <row r="1635" spans="24:43" x14ac:dyDescent="0.45">
      <c r="X1635" s="2"/>
      <c r="Y1635" s="2"/>
      <c r="AC1635" s="13"/>
      <c r="AD1635" s="13"/>
      <c r="AE1635" s="13"/>
      <c r="AF1635" s="17"/>
      <c r="AH1635" s="2"/>
      <c r="AL1635" s="17"/>
      <c r="AM1635" s="17"/>
      <c r="AN1635" s="17"/>
      <c r="AO1635" s="17"/>
      <c r="AP1635" s="17"/>
      <c r="AQ1635" s="17"/>
    </row>
    <row r="1636" spans="24:43" x14ac:dyDescent="0.45">
      <c r="X1636" s="2"/>
      <c r="Y1636" s="2"/>
      <c r="AC1636" s="13"/>
      <c r="AD1636" s="13"/>
      <c r="AE1636" s="13"/>
      <c r="AF1636" s="17"/>
      <c r="AH1636" s="2"/>
      <c r="AL1636" s="17"/>
      <c r="AM1636" s="17"/>
      <c r="AN1636" s="17"/>
      <c r="AO1636" s="17"/>
      <c r="AP1636" s="17"/>
      <c r="AQ1636" s="17"/>
    </row>
    <row r="1637" spans="24:43" x14ac:dyDescent="0.45">
      <c r="X1637" s="2"/>
      <c r="Y1637" s="2"/>
      <c r="AC1637" s="13"/>
      <c r="AD1637" s="13"/>
      <c r="AE1637" s="13"/>
      <c r="AF1637" s="17"/>
      <c r="AH1637" s="2"/>
      <c r="AL1637" s="17"/>
      <c r="AM1637" s="17"/>
      <c r="AN1637" s="17"/>
      <c r="AO1637" s="17"/>
      <c r="AP1637" s="17"/>
      <c r="AQ1637" s="17"/>
    </row>
    <row r="1638" spans="24:43" x14ac:dyDescent="0.45">
      <c r="X1638" s="2"/>
      <c r="Y1638" s="2"/>
      <c r="AC1638" s="13"/>
      <c r="AD1638" s="13"/>
      <c r="AE1638" s="13"/>
      <c r="AF1638" s="17"/>
      <c r="AH1638" s="2"/>
      <c r="AL1638" s="17"/>
      <c r="AM1638" s="17"/>
      <c r="AN1638" s="17"/>
      <c r="AO1638" s="17"/>
      <c r="AP1638" s="17"/>
      <c r="AQ1638" s="17"/>
    </row>
    <row r="1639" spans="24:43" x14ac:dyDescent="0.45">
      <c r="X1639" s="2"/>
      <c r="Y1639" s="2"/>
      <c r="AC1639" s="13"/>
      <c r="AD1639" s="13"/>
      <c r="AE1639" s="13"/>
      <c r="AF1639" s="17"/>
      <c r="AH1639" s="2"/>
      <c r="AL1639" s="17"/>
      <c r="AM1639" s="17"/>
      <c r="AN1639" s="17"/>
      <c r="AO1639" s="17"/>
      <c r="AP1639" s="17"/>
      <c r="AQ1639" s="17"/>
    </row>
    <row r="1640" spans="24:43" x14ac:dyDescent="0.45">
      <c r="X1640" s="2"/>
      <c r="Y1640" s="2"/>
      <c r="AC1640" s="13"/>
      <c r="AD1640" s="13"/>
      <c r="AE1640" s="13"/>
      <c r="AF1640" s="17"/>
      <c r="AH1640" s="2"/>
      <c r="AL1640" s="17"/>
      <c r="AM1640" s="17"/>
      <c r="AN1640" s="17"/>
      <c r="AO1640" s="17"/>
      <c r="AP1640" s="17"/>
      <c r="AQ1640" s="17"/>
    </row>
    <row r="1641" spans="24:43" x14ac:dyDescent="0.45">
      <c r="X1641" s="2"/>
      <c r="Y1641" s="2"/>
      <c r="AC1641" s="13"/>
      <c r="AD1641" s="13"/>
      <c r="AE1641" s="13"/>
      <c r="AF1641" s="17"/>
      <c r="AH1641" s="2"/>
      <c r="AL1641" s="17"/>
      <c r="AM1641" s="17"/>
      <c r="AN1641" s="17"/>
      <c r="AO1641" s="17"/>
      <c r="AP1641" s="17"/>
      <c r="AQ1641" s="17"/>
    </row>
    <row r="1642" spans="24:43" x14ac:dyDescent="0.45">
      <c r="X1642" s="2"/>
      <c r="Y1642" s="2"/>
      <c r="AC1642" s="13"/>
      <c r="AD1642" s="13"/>
      <c r="AE1642" s="13"/>
      <c r="AF1642" s="17"/>
      <c r="AH1642" s="2"/>
      <c r="AL1642" s="17"/>
      <c r="AM1642" s="17"/>
      <c r="AN1642" s="17"/>
      <c r="AO1642" s="17"/>
      <c r="AP1642" s="17"/>
      <c r="AQ1642" s="17"/>
    </row>
    <row r="1643" spans="24:43" x14ac:dyDescent="0.45">
      <c r="X1643" s="2"/>
      <c r="Y1643" s="2"/>
      <c r="AC1643" s="13"/>
      <c r="AD1643" s="13"/>
      <c r="AE1643" s="13"/>
      <c r="AF1643" s="17"/>
      <c r="AH1643" s="2"/>
      <c r="AL1643" s="17"/>
      <c r="AM1643" s="17"/>
      <c r="AN1643" s="17"/>
      <c r="AO1643" s="17"/>
      <c r="AP1643" s="17"/>
      <c r="AQ1643" s="17"/>
    </row>
    <row r="1644" spans="24:43" x14ac:dyDescent="0.45">
      <c r="X1644" s="2"/>
      <c r="Y1644" s="2"/>
      <c r="AC1644" s="13"/>
      <c r="AD1644" s="13"/>
      <c r="AE1644" s="13"/>
      <c r="AF1644" s="17"/>
      <c r="AH1644" s="2"/>
      <c r="AL1644" s="17"/>
      <c r="AM1644" s="17"/>
      <c r="AN1644" s="17"/>
      <c r="AO1644" s="17"/>
      <c r="AP1644" s="17"/>
      <c r="AQ1644" s="17"/>
    </row>
    <row r="1645" spans="24:43" x14ac:dyDescent="0.45">
      <c r="X1645" s="2"/>
      <c r="Y1645" s="2"/>
      <c r="AC1645" s="13"/>
      <c r="AD1645" s="13"/>
      <c r="AE1645" s="13"/>
      <c r="AF1645" s="17"/>
      <c r="AH1645" s="2"/>
      <c r="AL1645" s="17"/>
      <c r="AM1645" s="17"/>
      <c r="AN1645" s="17"/>
      <c r="AO1645" s="17"/>
      <c r="AP1645" s="17"/>
      <c r="AQ1645" s="17"/>
    </row>
    <row r="1646" spans="24:43" x14ac:dyDescent="0.45">
      <c r="X1646" s="2"/>
      <c r="Y1646" s="2"/>
      <c r="AC1646" s="13"/>
      <c r="AD1646" s="13"/>
      <c r="AE1646" s="13"/>
      <c r="AF1646" s="17"/>
      <c r="AH1646" s="2"/>
      <c r="AL1646" s="17"/>
      <c r="AM1646" s="17"/>
      <c r="AN1646" s="17"/>
      <c r="AO1646" s="17"/>
      <c r="AP1646" s="17"/>
      <c r="AQ1646" s="17"/>
    </row>
    <row r="1647" spans="24:43" x14ac:dyDescent="0.45">
      <c r="X1647" s="2"/>
      <c r="Y1647" s="2"/>
      <c r="AC1647" s="13"/>
      <c r="AD1647" s="13"/>
      <c r="AE1647" s="13"/>
      <c r="AF1647" s="17"/>
      <c r="AH1647" s="2"/>
      <c r="AL1647" s="17"/>
      <c r="AM1647" s="17"/>
      <c r="AN1647" s="17"/>
      <c r="AO1647" s="17"/>
      <c r="AP1647" s="17"/>
      <c r="AQ1647" s="17"/>
    </row>
    <row r="1648" spans="24:43" x14ac:dyDescent="0.45">
      <c r="X1648" s="2"/>
      <c r="Y1648" s="2"/>
      <c r="AC1648" s="13"/>
      <c r="AD1648" s="13"/>
      <c r="AE1648" s="13"/>
      <c r="AF1648" s="17"/>
      <c r="AH1648" s="2"/>
      <c r="AL1648" s="17"/>
      <c r="AM1648" s="17"/>
      <c r="AN1648" s="17"/>
      <c r="AO1648" s="17"/>
      <c r="AP1648" s="17"/>
      <c r="AQ1648" s="17"/>
    </row>
    <row r="1649" spans="24:43" x14ac:dyDescent="0.45">
      <c r="X1649" s="2"/>
      <c r="Y1649" s="2"/>
      <c r="AC1649" s="13"/>
      <c r="AD1649" s="13"/>
      <c r="AE1649" s="13"/>
      <c r="AF1649" s="17"/>
      <c r="AH1649" s="2"/>
      <c r="AL1649" s="17"/>
      <c r="AM1649" s="17"/>
      <c r="AN1649" s="17"/>
      <c r="AO1649" s="17"/>
      <c r="AP1649" s="17"/>
      <c r="AQ1649" s="17"/>
    </row>
    <row r="1650" spans="24:43" x14ac:dyDescent="0.45">
      <c r="X1650" s="2"/>
      <c r="Y1650" s="2"/>
      <c r="AC1650" s="13"/>
      <c r="AD1650" s="13"/>
      <c r="AE1650" s="13"/>
      <c r="AF1650" s="17"/>
      <c r="AH1650" s="2"/>
      <c r="AL1650" s="17"/>
      <c r="AM1650" s="17"/>
      <c r="AN1650" s="17"/>
      <c r="AO1650" s="17"/>
      <c r="AP1650" s="17"/>
      <c r="AQ1650" s="17"/>
    </row>
    <row r="1651" spans="24:43" x14ac:dyDescent="0.45">
      <c r="X1651" s="2"/>
      <c r="Y1651" s="2"/>
      <c r="AC1651" s="13"/>
      <c r="AD1651" s="13"/>
      <c r="AE1651" s="13"/>
      <c r="AF1651" s="17"/>
      <c r="AH1651" s="2"/>
      <c r="AL1651" s="17"/>
      <c r="AM1651" s="17"/>
      <c r="AN1651" s="17"/>
      <c r="AO1651" s="17"/>
      <c r="AP1651" s="17"/>
      <c r="AQ1651" s="17"/>
    </row>
    <row r="1652" spans="24:43" x14ac:dyDescent="0.45">
      <c r="X1652" s="2"/>
      <c r="Y1652" s="2"/>
      <c r="AC1652" s="13"/>
      <c r="AD1652" s="13"/>
      <c r="AE1652" s="13"/>
      <c r="AF1652" s="17"/>
      <c r="AH1652" s="2"/>
      <c r="AL1652" s="17"/>
      <c r="AM1652" s="17"/>
      <c r="AN1652" s="17"/>
      <c r="AO1652" s="17"/>
      <c r="AP1652" s="17"/>
      <c r="AQ1652" s="17"/>
    </row>
    <row r="1653" spans="24:43" x14ac:dyDescent="0.45">
      <c r="X1653" s="2"/>
      <c r="Y1653" s="2"/>
      <c r="AC1653" s="13"/>
      <c r="AD1653" s="13"/>
      <c r="AE1653" s="13"/>
      <c r="AF1653" s="17"/>
      <c r="AH1653" s="2"/>
      <c r="AL1653" s="17"/>
      <c r="AM1653" s="17"/>
      <c r="AN1653" s="17"/>
      <c r="AO1653" s="17"/>
      <c r="AP1653" s="17"/>
      <c r="AQ1653" s="17"/>
    </row>
    <row r="1654" spans="24:43" x14ac:dyDescent="0.45">
      <c r="X1654" s="2"/>
      <c r="Y1654" s="2"/>
      <c r="AC1654" s="13"/>
      <c r="AD1654" s="13"/>
      <c r="AE1654" s="13"/>
      <c r="AF1654" s="17"/>
      <c r="AH1654" s="2"/>
      <c r="AL1654" s="17"/>
      <c r="AM1654" s="17"/>
      <c r="AN1654" s="17"/>
      <c r="AO1654" s="17"/>
      <c r="AP1654" s="17"/>
      <c r="AQ1654" s="17"/>
    </row>
    <row r="1655" spans="24:43" x14ac:dyDescent="0.45">
      <c r="X1655" s="2"/>
      <c r="Y1655" s="2"/>
      <c r="AC1655" s="13"/>
      <c r="AD1655" s="13"/>
      <c r="AE1655" s="13"/>
      <c r="AF1655" s="17"/>
      <c r="AH1655" s="2"/>
      <c r="AL1655" s="17"/>
      <c r="AM1655" s="17"/>
      <c r="AN1655" s="17"/>
      <c r="AO1655" s="17"/>
      <c r="AP1655" s="17"/>
      <c r="AQ1655" s="17"/>
    </row>
    <row r="1656" spans="24:43" x14ac:dyDescent="0.45">
      <c r="X1656" s="2"/>
      <c r="Y1656" s="2"/>
      <c r="AC1656" s="13"/>
      <c r="AD1656" s="13"/>
      <c r="AE1656" s="13"/>
      <c r="AF1656" s="17"/>
      <c r="AH1656" s="2"/>
      <c r="AL1656" s="17"/>
      <c r="AM1656" s="17"/>
      <c r="AN1656" s="17"/>
      <c r="AO1656" s="17"/>
      <c r="AP1656" s="17"/>
      <c r="AQ1656" s="17"/>
    </row>
    <row r="1657" spans="24:43" x14ac:dyDescent="0.45">
      <c r="X1657" s="2"/>
      <c r="Y1657" s="2"/>
      <c r="AC1657" s="13"/>
      <c r="AD1657" s="13"/>
      <c r="AE1657" s="13"/>
      <c r="AF1657" s="17"/>
      <c r="AH1657" s="2"/>
      <c r="AL1657" s="17"/>
      <c r="AM1657" s="17"/>
      <c r="AN1657" s="17"/>
      <c r="AO1657" s="17"/>
      <c r="AP1657" s="17"/>
      <c r="AQ1657" s="17"/>
    </row>
    <row r="1658" spans="24:43" x14ac:dyDescent="0.45">
      <c r="X1658" s="2"/>
      <c r="Y1658" s="2"/>
      <c r="AC1658" s="13"/>
      <c r="AD1658" s="13"/>
      <c r="AE1658" s="13"/>
      <c r="AF1658" s="17"/>
      <c r="AH1658" s="2"/>
      <c r="AL1658" s="17"/>
      <c r="AM1658" s="17"/>
      <c r="AN1658" s="17"/>
      <c r="AO1658" s="17"/>
      <c r="AP1658" s="17"/>
      <c r="AQ1658" s="17"/>
    </row>
    <row r="1659" spans="24:43" x14ac:dyDescent="0.45">
      <c r="X1659" s="2"/>
      <c r="Y1659" s="2"/>
      <c r="AC1659" s="13"/>
      <c r="AD1659" s="13"/>
      <c r="AE1659" s="13"/>
      <c r="AF1659" s="17"/>
      <c r="AH1659" s="2"/>
      <c r="AL1659" s="17"/>
      <c r="AM1659" s="17"/>
      <c r="AN1659" s="17"/>
      <c r="AO1659" s="17"/>
      <c r="AP1659" s="17"/>
      <c r="AQ1659" s="17"/>
    </row>
    <row r="1660" spans="24:43" x14ac:dyDescent="0.45">
      <c r="X1660" s="2"/>
      <c r="Y1660" s="2"/>
      <c r="AC1660" s="13"/>
      <c r="AD1660" s="13"/>
      <c r="AE1660" s="13"/>
      <c r="AF1660" s="17"/>
      <c r="AH1660" s="2"/>
      <c r="AL1660" s="17"/>
      <c r="AM1660" s="17"/>
      <c r="AN1660" s="17"/>
      <c r="AO1660" s="17"/>
      <c r="AP1660" s="17"/>
      <c r="AQ1660" s="17"/>
    </row>
    <row r="1661" spans="24:43" x14ac:dyDescent="0.45">
      <c r="X1661" s="2"/>
      <c r="Y1661" s="2"/>
      <c r="AC1661" s="13"/>
      <c r="AD1661" s="13"/>
      <c r="AE1661" s="13"/>
      <c r="AF1661" s="17"/>
      <c r="AH1661" s="2"/>
      <c r="AL1661" s="17"/>
      <c r="AM1661" s="17"/>
      <c r="AN1661" s="17"/>
      <c r="AO1661" s="17"/>
      <c r="AP1661" s="17"/>
      <c r="AQ1661" s="17"/>
    </row>
    <row r="1662" spans="24:43" x14ac:dyDescent="0.45">
      <c r="X1662" s="2"/>
      <c r="Y1662" s="2"/>
      <c r="AC1662" s="13"/>
      <c r="AD1662" s="13"/>
      <c r="AE1662" s="13"/>
      <c r="AF1662" s="17"/>
      <c r="AH1662" s="2"/>
      <c r="AL1662" s="17"/>
      <c r="AM1662" s="17"/>
      <c r="AN1662" s="17"/>
      <c r="AO1662" s="17"/>
      <c r="AP1662" s="17"/>
      <c r="AQ1662" s="17"/>
    </row>
    <row r="1663" spans="24:43" x14ac:dyDescent="0.45">
      <c r="X1663" s="2"/>
      <c r="Y1663" s="2"/>
      <c r="AC1663" s="13"/>
      <c r="AD1663" s="13"/>
      <c r="AE1663" s="13"/>
      <c r="AF1663" s="17"/>
      <c r="AH1663" s="2"/>
      <c r="AL1663" s="17"/>
      <c r="AM1663" s="17"/>
      <c r="AN1663" s="17"/>
      <c r="AO1663" s="17"/>
      <c r="AP1663" s="17"/>
      <c r="AQ1663" s="17"/>
    </row>
    <row r="1664" spans="24:43" x14ac:dyDescent="0.45">
      <c r="X1664" s="2"/>
      <c r="Y1664" s="2"/>
      <c r="AC1664" s="13"/>
      <c r="AD1664" s="13"/>
      <c r="AE1664" s="13"/>
      <c r="AF1664" s="17"/>
      <c r="AH1664" s="2"/>
      <c r="AL1664" s="17"/>
      <c r="AM1664" s="17"/>
      <c r="AN1664" s="17"/>
      <c r="AO1664" s="17"/>
      <c r="AP1664" s="17"/>
      <c r="AQ1664" s="17"/>
    </row>
    <row r="1665" spans="24:43" x14ac:dyDescent="0.45">
      <c r="X1665" s="2"/>
      <c r="Y1665" s="2"/>
      <c r="AC1665" s="13"/>
      <c r="AD1665" s="13"/>
      <c r="AE1665" s="13"/>
      <c r="AF1665" s="17"/>
      <c r="AH1665" s="2"/>
      <c r="AL1665" s="17"/>
      <c r="AM1665" s="17"/>
      <c r="AN1665" s="17"/>
      <c r="AO1665" s="17"/>
      <c r="AP1665" s="17"/>
      <c r="AQ1665" s="17"/>
    </row>
    <row r="1666" spans="24:43" x14ac:dyDescent="0.45">
      <c r="X1666" s="2"/>
      <c r="Y1666" s="2"/>
      <c r="AC1666" s="13"/>
      <c r="AD1666" s="13"/>
      <c r="AE1666" s="13"/>
      <c r="AF1666" s="17"/>
      <c r="AH1666" s="2"/>
      <c r="AL1666" s="17"/>
      <c r="AM1666" s="17"/>
      <c r="AN1666" s="17"/>
      <c r="AO1666" s="17"/>
      <c r="AP1666" s="17"/>
      <c r="AQ1666" s="17"/>
    </row>
    <row r="1667" spans="24:43" x14ac:dyDescent="0.45">
      <c r="X1667" s="2"/>
      <c r="Y1667" s="2"/>
      <c r="AC1667" s="13"/>
      <c r="AD1667" s="13"/>
      <c r="AE1667" s="13"/>
      <c r="AF1667" s="17"/>
      <c r="AH1667" s="2"/>
      <c r="AL1667" s="17"/>
      <c r="AM1667" s="17"/>
      <c r="AN1667" s="17"/>
      <c r="AO1667" s="17"/>
      <c r="AP1667" s="17"/>
      <c r="AQ1667" s="17"/>
    </row>
    <row r="1668" spans="24:43" x14ac:dyDescent="0.45">
      <c r="X1668" s="2"/>
      <c r="Y1668" s="2"/>
      <c r="AC1668" s="13"/>
      <c r="AD1668" s="13"/>
      <c r="AE1668" s="13"/>
      <c r="AF1668" s="17"/>
      <c r="AH1668" s="2"/>
      <c r="AL1668" s="17"/>
      <c r="AM1668" s="17"/>
      <c r="AN1668" s="17"/>
      <c r="AO1668" s="17"/>
      <c r="AP1668" s="17"/>
      <c r="AQ1668" s="17"/>
    </row>
    <row r="1669" spans="24:43" x14ac:dyDescent="0.45">
      <c r="X1669" s="2"/>
      <c r="Y1669" s="2"/>
      <c r="AC1669" s="13"/>
      <c r="AD1669" s="13"/>
      <c r="AE1669" s="13"/>
      <c r="AF1669" s="17"/>
      <c r="AH1669" s="2"/>
      <c r="AL1669" s="17"/>
      <c r="AM1669" s="17"/>
      <c r="AN1669" s="17"/>
      <c r="AO1669" s="17"/>
      <c r="AP1669" s="17"/>
      <c r="AQ1669" s="17"/>
    </row>
    <row r="1670" spans="24:43" x14ac:dyDescent="0.45">
      <c r="X1670" s="2"/>
      <c r="Y1670" s="2"/>
      <c r="AC1670" s="13"/>
      <c r="AD1670" s="13"/>
      <c r="AE1670" s="13"/>
      <c r="AF1670" s="17"/>
      <c r="AH1670" s="2"/>
      <c r="AL1670" s="17"/>
      <c r="AM1670" s="17"/>
      <c r="AN1670" s="17"/>
      <c r="AO1670" s="17"/>
      <c r="AP1670" s="17"/>
      <c r="AQ1670" s="17"/>
    </row>
    <row r="1671" spans="24:43" x14ac:dyDescent="0.45">
      <c r="X1671" s="2"/>
      <c r="Y1671" s="2"/>
      <c r="AC1671" s="13"/>
      <c r="AD1671" s="13"/>
      <c r="AE1671" s="13"/>
      <c r="AF1671" s="17"/>
      <c r="AH1671" s="2"/>
      <c r="AL1671" s="17"/>
      <c r="AM1671" s="17"/>
      <c r="AN1671" s="17"/>
      <c r="AO1671" s="17"/>
      <c r="AP1671" s="17"/>
      <c r="AQ1671" s="17"/>
    </row>
    <row r="1672" spans="24:43" x14ac:dyDescent="0.45">
      <c r="X1672" s="2"/>
      <c r="Y1672" s="2"/>
      <c r="AC1672" s="13"/>
      <c r="AD1672" s="13"/>
      <c r="AE1672" s="13"/>
      <c r="AF1672" s="17"/>
      <c r="AH1672" s="2"/>
      <c r="AL1672" s="17"/>
      <c r="AM1672" s="17"/>
      <c r="AN1672" s="17"/>
      <c r="AO1672" s="17"/>
      <c r="AP1672" s="17"/>
      <c r="AQ1672" s="17"/>
    </row>
    <row r="1673" spans="24:43" x14ac:dyDescent="0.45">
      <c r="X1673" s="2"/>
      <c r="Y1673" s="2"/>
      <c r="AC1673" s="13"/>
      <c r="AD1673" s="13"/>
      <c r="AE1673" s="13"/>
      <c r="AF1673" s="17"/>
      <c r="AH1673" s="2"/>
      <c r="AL1673" s="17"/>
      <c r="AM1673" s="17"/>
      <c r="AN1673" s="17"/>
      <c r="AO1673" s="17"/>
      <c r="AP1673" s="17"/>
      <c r="AQ1673" s="17"/>
    </row>
    <row r="1674" spans="24:43" x14ac:dyDescent="0.45">
      <c r="X1674" s="2"/>
      <c r="Y1674" s="2"/>
      <c r="AC1674" s="13"/>
      <c r="AD1674" s="13"/>
      <c r="AE1674" s="13"/>
      <c r="AF1674" s="17"/>
      <c r="AH1674" s="2"/>
      <c r="AL1674" s="17"/>
      <c r="AM1674" s="17"/>
      <c r="AN1674" s="17"/>
      <c r="AO1674" s="17"/>
      <c r="AP1674" s="17"/>
      <c r="AQ1674" s="17"/>
    </row>
    <row r="1675" spans="24:43" x14ac:dyDescent="0.45">
      <c r="X1675" s="2"/>
      <c r="Y1675" s="2"/>
      <c r="AC1675" s="13"/>
      <c r="AD1675" s="13"/>
      <c r="AE1675" s="13"/>
      <c r="AF1675" s="17"/>
      <c r="AH1675" s="2"/>
      <c r="AL1675" s="17"/>
      <c r="AM1675" s="17"/>
      <c r="AN1675" s="17"/>
      <c r="AO1675" s="17"/>
      <c r="AP1675" s="17"/>
      <c r="AQ1675" s="17"/>
    </row>
    <row r="1676" spans="24:43" x14ac:dyDescent="0.45">
      <c r="X1676" s="2"/>
      <c r="Y1676" s="2"/>
      <c r="AC1676" s="13"/>
      <c r="AD1676" s="13"/>
      <c r="AE1676" s="13"/>
      <c r="AF1676" s="17"/>
      <c r="AH1676" s="2"/>
      <c r="AL1676" s="17"/>
      <c r="AM1676" s="17"/>
      <c r="AN1676" s="17"/>
      <c r="AO1676" s="17"/>
      <c r="AP1676" s="17"/>
      <c r="AQ1676" s="17"/>
    </row>
    <row r="1677" spans="24:43" x14ac:dyDescent="0.45">
      <c r="X1677" s="2"/>
      <c r="Y1677" s="2"/>
      <c r="AC1677" s="13"/>
      <c r="AD1677" s="13"/>
      <c r="AE1677" s="13"/>
      <c r="AF1677" s="17"/>
      <c r="AH1677" s="2"/>
      <c r="AL1677" s="17"/>
      <c r="AM1677" s="17"/>
      <c r="AN1677" s="17"/>
      <c r="AO1677" s="17"/>
      <c r="AP1677" s="17"/>
      <c r="AQ1677" s="17"/>
    </row>
    <row r="1678" spans="24:43" x14ac:dyDescent="0.45">
      <c r="X1678" s="2"/>
      <c r="Y1678" s="2"/>
      <c r="AC1678" s="13"/>
      <c r="AD1678" s="13"/>
      <c r="AE1678" s="13"/>
      <c r="AF1678" s="17"/>
      <c r="AH1678" s="2"/>
      <c r="AL1678" s="17"/>
      <c r="AM1678" s="17"/>
      <c r="AN1678" s="17"/>
      <c r="AO1678" s="17"/>
      <c r="AP1678" s="17"/>
      <c r="AQ1678" s="17"/>
    </row>
    <row r="1679" spans="24:43" x14ac:dyDescent="0.45">
      <c r="X1679" s="2"/>
      <c r="Y1679" s="2"/>
      <c r="AC1679" s="13"/>
      <c r="AD1679" s="13"/>
      <c r="AE1679" s="13"/>
      <c r="AF1679" s="17"/>
      <c r="AH1679" s="2"/>
      <c r="AL1679" s="17"/>
      <c r="AM1679" s="17"/>
      <c r="AN1679" s="17"/>
      <c r="AO1679" s="17"/>
      <c r="AP1679" s="17"/>
      <c r="AQ1679" s="17"/>
    </row>
    <row r="1680" spans="24:43" x14ac:dyDescent="0.45">
      <c r="X1680" s="2"/>
      <c r="Y1680" s="2"/>
      <c r="AC1680" s="13"/>
      <c r="AD1680" s="13"/>
      <c r="AE1680" s="13"/>
      <c r="AF1680" s="17"/>
      <c r="AH1680" s="2"/>
      <c r="AL1680" s="17"/>
      <c r="AM1680" s="17"/>
      <c r="AN1680" s="17"/>
      <c r="AO1680" s="17"/>
      <c r="AP1680" s="17"/>
      <c r="AQ1680" s="17"/>
    </row>
    <row r="1681" spans="24:43" x14ac:dyDescent="0.45">
      <c r="X1681" s="2"/>
      <c r="Y1681" s="2"/>
      <c r="AC1681" s="13"/>
      <c r="AD1681" s="13"/>
      <c r="AE1681" s="13"/>
      <c r="AF1681" s="17"/>
      <c r="AH1681" s="2"/>
      <c r="AL1681" s="17"/>
      <c r="AM1681" s="17"/>
      <c r="AN1681" s="17"/>
      <c r="AO1681" s="17"/>
      <c r="AP1681" s="17"/>
      <c r="AQ1681" s="17"/>
    </row>
    <row r="1682" spans="24:43" x14ac:dyDescent="0.45">
      <c r="X1682" s="2"/>
      <c r="Y1682" s="2"/>
      <c r="AC1682" s="13"/>
      <c r="AD1682" s="13"/>
      <c r="AE1682" s="13"/>
      <c r="AF1682" s="17"/>
      <c r="AH1682" s="2"/>
      <c r="AL1682" s="17"/>
      <c r="AM1682" s="17"/>
      <c r="AN1682" s="17"/>
      <c r="AO1682" s="17"/>
      <c r="AP1682" s="17"/>
      <c r="AQ1682" s="17"/>
    </row>
    <row r="1683" spans="24:43" x14ac:dyDescent="0.45">
      <c r="X1683" s="2"/>
      <c r="Y1683" s="2"/>
      <c r="AC1683" s="13"/>
      <c r="AD1683" s="13"/>
      <c r="AE1683" s="13"/>
      <c r="AF1683" s="17"/>
      <c r="AH1683" s="2"/>
      <c r="AL1683" s="17"/>
      <c r="AM1683" s="17"/>
      <c r="AN1683" s="17"/>
      <c r="AO1683" s="17"/>
      <c r="AP1683" s="17"/>
      <c r="AQ1683" s="17"/>
    </row>
    <row r="1684" spans="24:43" x14ac:dyDescent="0.45">
      <c r="X1684" s="2"/>
      <c r="Y1684" s="2"/>
      <c r="AC1684" s="13"/>
      <c r="AD1684" s="13"/>
      <c r="AE1684" s="13"/>
      <c r="AF1684" s="17"/>
      <c r="AH1684" s="2"/>
      <c r="AL1684" s="17"/>
      <c r="AM1684" s="17"/>
      <c r="AN1684" s="17"/>
      <c r="AO1684" s="17"/>
      <c r="AP1684" s="17"/>
      <c r="AQ1684" s="17"/>
    </row>
    <row r="1685" spans="24:43" x14ac:dyDescent="0.45">
      <c r="X1685" s="2"/>
      <c r="Y1685" s="2"/>
      <c r="AC1685" s="13"/>
      <c r="AD1685" s="13"/>
      <c r="AE1685" s="13"/>
      <c r="AF1685" s="17"/>
      <c r="AH1685" s="2"/>
      <c r="AL1685" s="17"/>
      <c r="AM1685" s="17"/>
      <c r="AN1685" s="17"/>
      <c r="AO1685" s="17"/>
      <c r="AP1685" s="17"/>
      <c r="AQ1685" s="17"/>
    </row>
    <row r="1686" spans="24:43" x14ac:dyDescent="0.45">
      <c r="X1686" s="2"/>
      <c r="Y1686" s="2"/>
      <c r="AC1686" s="13"/>
      <c r="AD1686" s="13"/>
      <c r="AE1686" s="13"/>
      <c r="AF1686" s="17"/>
      <c r="AH1686" s="2"/>
      <c r="AL1686" s="17"/>
      <c r="AM1686" s="17"/>
      <c r="AN1686" s="17"/>
      <c r="AO1686" s="17"/>
      <c r="AP1686" s="17"/>
      <c r="AQ1686" s="17"/>
    </row>
    <row r="1687" spans="24:43" x14ac:dyDescent="0.45">
      <c r="X1687" s="2"/>
      <c r="Y1687" s="2"/>
      <c r="AC1687" s="13"/>
      <c r="AD1687" s="13"/>
      <c r="AE1687" s="13"/>
      <c r="AF1687" s="17"/>
      <c r="AH1687" s="2"/>
      <c r="AL1687" s="17"/>
      <c r="AM1687" s="17"/>
      <c r="AN1687" s="17"/>
      <c r="AO1687" s="17"/>
      <c r="AP1687" s="17"/>
      <c r="AQ1687" s="17"/>
    </row>
    <row r="1688" spans="24:43" x14ac:dyDescent="0.45">
      <c r="X1688" s="2"/>
      <c r="Y1688" s="2"/>
      <c r="AC1688" s="13"/>
      <c r="AD1688" s="13"/>
      <c r="AE1688" s="13"/>
      <c r="AF1688" s="17"/>
      <c r="AH1688" s="2"/>
      <c r="AL1688" s="17"/>
      <c r="AM1688" s="17"/>
      <c r="AN1688" s="17"/>
      <c r="AO1688" s="17"/>
      <c r="AP1688" s="17"/>
      <c r="AQ1688" s="17"/>
    </row>
    <row r="1689" spans="24:43" x14ac:dyDescent="0.45">
      <c r="X1689" s="2"/>
      <c r="Y1689" s="2"/>
      <c r="AC1689" s="13"/>
      <c r="AD1689" s="13"/>
      <c r="AE1689" s="13"/>
      <c r="AF1689" s="17"/>
      <c r="AH1689" s="2"/>
      <c r="AL1689" s="17"/>
      <c r="AM1689" s="17"/>
      <c r="AN1689" s="17"/>
      <c r="AO1689" s="17"/>
      <c r="AP1689" s="17"/>
      <c r="AQ1689" s="17"/>
    </row>
    <row r="1690" spans="24:43" x14ac:dyDescent="0.45">
      <c r="X1690" s="2"/>
      <c r="Y1690" s="2"/>
      <c r="AC1690" s="13"/>
      <c r="AD1690" s="13"/>
      <c r="AE1690" s="13"/>
      <c r="AF1690" s="17"/>
      <c r="AH1690" s="2"/>
      <c r="AL1690" s="17"/>
      <c r="AM1690" s="17"/>
      <c r="AN1690" s="17"/>
      <c r="AO1690" s="17"/>
      <c r="AP1690" s="17"/>
      <c r="AQ1690" s="17"/>
    </row>
    <row r="1691" spans="24:43" x14ac:dyDescent="0.45">
      <c r="X1691" s="2"/>
      <c r="Y1691" s="2"/>
      <c r="AC1691" s="13"/>
      <c r="AD1691" s="13"/>
      <c r="AE1691" s="13"/>
      <c r="AF1691" s="17"/>
      <c r="AH1691" s="2"/>
      <c r="AL1691" s="17"/>
      <c r="AM1691" s="17"/>
      <c r="AN1691" s="17"/>
      <c r="AO1691" s="17"/>
      <c r="AP1691" s="17"/>
      <c r="AQ1691" s="17"/>
    </row>
    <row r="1692" spans="24:43" x14ac:dyDescent="0.45">
      <c r="X1692" s="2"/>
      <c r="Y1692" s="2"/>
      <c r="AC1692" s="13"/>
      <c r="AD1692" s="13"/>
      <c r="AE1692" s="13"/>
      <c r="AF1692" s="17"/>
      <c r="AH1692" s="2"/>
      <c r="AL1692" s="17"/>
      <c r="AM1692" s="17"/>
      <c r="AN1692" s="17"/>
      <c r="AO1692" s="17"/>
      <c r="AP1692" s="17"/>
      <c r="AQ1692" s="17"/>
    </row>
    <row r="1693" spans="24:43" x14ac:dyDescent="0.45">
      <c r="X1693" s="2"/>
      <c r="Y1693" s="2"/>
      <c r="AC1693" s="13"/>
      <c r="AD1693" s="13"/>
      <c r="AE1693" s="13"/>
      <c r="AF1693" s="17"/>
      <c r="AH1693" s="2"/>
      <c r="AL1693" s="17"/>
      <c r="AM1693" s="17"/>
      <c r="AN1693" s="17"/>
      <c r="AO1693" s="17"/>
      <c r="AP1693" s="17"/>
      <c r="AQ1693" s="17"/>
    </row>
    <row r="1694" spans="24:43" x14ac:dyDescent="0.45">
      <c r="X1694" s="2"/>
      <c r="Y1694" s="2"/>
      <c r="AC1694" s="13"/>
      <c r="AD1694" s="13"/>
      <c r="AE1694" s="13"/>
      <c r="AF1694" s="17"/>
      <c r="AH1694" s="2"/>
      <c r="AL1694" s="17"/>
      <c r="AM1694" s="17"/>
      <c r="AN1694" s="17"/>
      <c r="AO1694" s="17"/>
      <c r="AP1694" s="17"/>
      <c r="AQ1694" s="17"/>
    </row>
    <row r="1695" spans="24:43" x14ac:dyDescent="0.45">
      <c r="X1695" s="2"/>
      <c r="Y1695" s="2"/>
      <c r="AC1695" s="13"/>
      <c r="AD1695" s="13"/>
      <c r="AE1695" s="13"/>
      <c r="AF1695" s="17"/>
      <c r="AH1695" s="2"/>
      <c r="AL1695" s="17"/>
      <c r="AM1695" s="17"/>
      <c r="AN1695" s="17"/>
      <c r="AO1695" s="17"/>
      <c r="AP1695" s="17"/>
      <c r="AQ1695" s="17"/>
    </row>
    <row r="1696" spans="24:43" x14ac:dyDescent="0.45">
      <c r="X1696" s="2"/>
      <c r="Y1696" s="2"/>
      <c r="AC1696" s="13"/>
      <c r="AD1696" s="13"/>
      <c r="AE1696" s="13"/>
      <c r="AF1696" s="17"/>
      <c r="AH1696" s="2"/>
      <c r="AL1696" s="17"/>
      <c r="AM1696" s="17"/>
      <c r="AN1696" s="17"/>
      <c r="AO1696" s="17"/>
      <c r="AP1696" s="17"/>
      <c r="AQ1696" s="17"/>
    </row>
    <row r="1697" spans="24:43" x14ac:dyDescent="0.45">
      <c r="X1697" s="2"/>
      <c r="Y1697" s="2"/>
      <c r="AC1697" s="13"/>
      <c r="AD1697" s="13"/>
      <c r="AE1697" s="13"/>
      <c r="AF1697" s="17"/>
      <c r="AH1697" s="2"/>
      <c r="AL1697" s="17"/>
      <c r="AM1697" s="17"/>
      <c r="AN1697" s="17"/>
      <c r="AO1697" s="17"/>
      <c r="AP1697" s="17"/>
      <c r="AQ1697" s="17"/>
    </row>
    <row r="1698" spans="24:43" x14ac:dyDescent="0.45">
      <c r="X1698" s="2"/>
      <c r="Y1698" s="2"/>
      <c r="AC1698" s="13"/>
      <c r="AD1698" s="13"/>
      <c r="AE1698" s="13"/>
      <c r="AF1698" s="17"/>
      <c r="AH1698" s="2"/>
      <c r="AL1698" s="17"/>
      <c r="AM1698" s="17"/>
      <c r="AN1698" s="17"/>
      <c r="AO1698" s="17"/>
      <c r="AP1698" s="17"/>
      <c r="AQ1698" s="17"/>
    </row>
    <row r="1699" spans="24:43" x14ac:dyDescent="0.45">
      <c r="X1699" s="2"/>
      <c r="Y1699" s="2"/>
      <c r="AC1699" s="13"/>
      <c r="AD1699" s="13"/>
      <c r="AE1699" s="13"/>
      <c r="AF1699" s="17"/>
      <c r="AH1699" s="2"/>
      <c r="AL1699" s="17"/>
      <c r="AM1699" s="17"/>
      <c r="AN1699" s="17"/>
      <c r="AO1699" s="17"/>
      <c r="AP1699" s="17"/>
      <c r="AQ1699" s="17"/>
    </row>
    <row r="1700" spans="24:43" x14ac:dyDescent="0.45">
      <c r="X1700" s="2"/>
      <c r="Y1700" s="2"/>
      <c r="AC1700" s="13"/>
      <c r="AD1700" s="13"/>
      <c r="AE1700" s="13"/>
      <c r="AF1700" s="17"/>
      <c r="AH1700" s="2"/>
      <c r="AL1700" s="17"/>
      <c r="AM1700" s="17"/>
      <c r="AN1700" s="17"/>
      <c r="AO1700" s="17"/>
      <c r="AP1700" s="17"/>
      <c r="AQ1700" s="17"/>
    </row>
    <row r="1701" spans="24:43" x14ac:dyDescent="0.45">
      <c r="X1701" s="2"/>
      <c r="Y1701" s="2"/>
      <c r="AC1701" s="13"/>
      <c r="AD1701" s="13"/>
      <c r="AE1701" s="13"/>
      <c r="AF1701" s="17"/>
      <c r="AH1701" s="2"/>
      <c r="AL1701" s="17"/>
      <c r="AM1701" s="17"/>
      <c r="AN1701" s="17"/>
      <c r="AO1701" s="17"/>
      <c r="AP1701" s="17"/>
      <c r="AQ1701" s="17"/>
    </row>
    <row r="1702" spans="24:43" x14ac:dyDescent="0.45">
      <c r="X1702" s="2"/>
      <c r="Y1702" s="2"/>
      <c r="AC1702" s="13"/>
      <c r="AD1702" s="13"/>
      <c r="AE1702" s="13"/>
      <c r="AF1702" s="17"/>
      <c r="AH1702" s="2"/>
      <c r="AL1702" s="17"/>
      <c r="AM1702" s="17"/>
      <c r="AN1702" s="17"/>
      <c r="AO1702" s="17"/>
      <c r="AP1702" s="17"/>
      <c r="AQ1702" s="17"/>
    </row>
    <row r="1703" spans="24:43" x14ac:dyDescent="0.45">
      <c r="X1703" s="2"/>
      <c r="Y1703" s="2"/>
      <c r="AC1703" s="13"/>
      <c r="AD1703" s="13"/>
      <c r="AE1703" s="13"/>
      <c r="AF1703" s="17"/>
      <c r="AH1703" s="2"/>
      <c r="AL1703" s="17"/>
      <c r="AM1703" s="17"/>
      <c r="AN1703" s="17"/>
      <c r="AO1703" s="17"/>
      <c r="AP1703" s="17"/>
      <c r="AQ1703" s="17"/>
    </row>
    <row r="1704" spans="24:43" x14ac:dyDescent="0.45">
      <c r="X1704" s="2"/>
      <c r="Y1704" s="2"/>
      <c r="AC1704" s="13"/>
      <c r="AD1704" s="13"/>
      <c r="AE1704" s="13"/>
      <c r="AF1704" s="17"/>
      <c r="AH1704" s="2"/>
      <c r="AL1704" s="17"/>
      <c r="AM1704" s="17"/>
      <c r="AN1704" s="17"/>
      <c r="AO1704" s="17"/>
      <c r="AP1704" s="17"/>
      <c r="AQ1704" s="17"/>
    </row>
    <row r="1705" spans="24:43" x14ac:dyDescent="0.45">
      <c r="X1705" s="2"/>
      <c r="Y1705" s="2"/>
      <c r="AC1705" s="13"/>
      <c r="AD1705" s="13"/>
      <c r="AE1705" s="13"/>
      <c r="AF1705" s="17"/>
      <c r="AH1705" s="2"/>
      <c r="AL1705" s="17"/>
      <c r="AM1705" s="17"/>
      <c r="AN1705" s="17"/>
      <c r="AO1705" s="17"/>
      <c r="AP1705" s="17"/>
      <c r="AQ1705" s="17"/>
    </row>
    <row r="1706" spans="24:43" x14ac:dyDescent="0.45">
      <c r="X1706" s="2"/>
      <c r="Y1706" s="2"/>
      <c r="AC1706" s="13"/>
      <c r="AD1706" s="13"/>
      <c r="AE1706" s="13"/>
      <c r="AF1706" s="17"/>
      <c r="AH1706" s="2"/>
      <c r="AL1706" s="17"/>
      <c r="AM1706" s="17"/>
      <c r="AN1706" s="17"/>
      <c r="AO1706" s="17"/>
      <c r="AP1706" s="17"/>
      <c r="AQ1706" s="17"/>
    </row>
    <row r="1707" spans="24:43" x14ac:dyDescent="0.45">
      <c r="X1707" s="2"/>
      <c r="Y1707" s="2"/>
      <c r="AC1707" s="13"/>
      <c r="AD1707" s="13"/>
      <c r="AE1707" s="13"/>
      <c r="AF1707" s="17"/>
      <c r="AH1707" s="2"/>
      <c r="AL1707" s="17"/>
      <c r="AM1707" s="17"/>
      <c r="AN1707" s="17"/>
      <c r="AO1707" s="17"/>
      <c r="AP1707" s="17"/>
      <c r="AQ1707" s="17"/>
    </row>
    <row r="1708" spans="24:43" x14ac:dyDescent="0.45">
      <c r="X1708" s="2"/>
      <c r="Y1708" s="2"/>
      <c r="AC1708" s="13"/>
      <c r="AD1708" s="13"/>
      <c r="AE1708" s="13"/>
      <c r="AF1708" s="17"/>
      <c r="AH1708" s="2"/>
      <c r="AL1708" s="17"/>
      <c r="AM1708" s="17"/>
      <c r="AN1708" s="17"/>
      <c r="AO1708" s="17"/>
      <c r="AP1708" s="17"/>
      <c r="AQ1708" s="17"/>
    </row>
    <row r="1709" spans="24:43" x14ac:dyDescent="0.45">
      <c r="X1709" s="2"/>
      <c r="Y1709" s="2"/>
      <c r="AC1709" s="13"/>
      <c r="AD1709" s="13"/>
      <c r="AE1709" s="13"/>
      <c r="AF1709" s="17"/>
      <c r="AH1709" s="2"/>
      <c r="AL1709" s="17"/>
      <c r="AM1709" s="17"/>
      <c r="AN1709" s="17"/>
      <c r="AO1709" s="17"/>
      <c r="AP1709" s="17"/>
      <c r="AQ1709" s="17"/>
    </row>
    <row r="1710" spans="24:43" x14ac:dyDescent="0.45">
      <c r="X1710" s="2"/>
      <c r="Y1710" s="2"/>
      <c r="AC1710" s="13"/>
      <c r="AD1710" s="13"/>
      <c r="AE1710" s="13"/>
      <c r="AF1710" s="17"/>
      <c r="AH1710" s="2"/>
      <c r="AL1710" s="17"/>
      <c r="AM1710" s="17"/>
      <c r="AN1710" s="17"/>
      <c r="AO1710" s="17"/>
      <c r="AP1710" s="17"/>
      <c r="AQ1710" s="17"/>
    </row>
    <row r="1711" spans="24:43" x14ac:dyDescent="0.45">
      <c r="X1711" s="2"/>
      <c r="Y1711" s="2"/>
      <c r="AC1711" s="13"/>
      <c r="AD1711" s="13"/>
      <c r="AE1711" s="13"/>
      <c r="AF1711" s="17"/>
      <c r="AH1711" s="2"/>
      <c r="AL1711" s="17"/>
      <c r="AM1711" s="17"/>
      <c r="AN1711" s="17"/>
      <c r="AO1711" s="17"/>
      <c r="AP1711" s="17"/>
      <c r="AQ1711" s="17"/>
    </row>
    <row r="1712" spans="24:43" x14ac:dyDescent="0.45">
      <c r="X1712" s="2"/>
      <c r="Y1712" s="2"/>
      <c r="AC1712" s="13"/>
      <c r="AD1712" s="13"/>
      <c r="AE1712" s="13"/>
      <c r="AF1712" s="17"/>
      <c r="AH1712" s="2"/>
      <c r="AL1712" s="17"/>
      <c r="AM1712" s="17"/>
      <c r="AN1712" s="17"/>
      <c r="AO1712" s="17"/>
      <c r="AP1712" s="17"/>
      <c r="AQ1712" s="17"/>
    </row>
    <row r="1713" spans="24:43" x14ac:dyDescent="0.45">
      <c r="X1713" s="2"/>
      <c r="Y1713" s="2"/>
      <c r="AC1713" s="13"/>
      <c r="AD1713" s="13"/>
      <c r="AE1713" s="13"/>
      <c r="AF1713" s="17"/>
      <c r="AH1713" s="2"/>
      <c r="AL1713" s="17"/>
      <c r="AM1713" s="17"/>
      <c r="AN1713" s="17"/>
      <c r="AO1713" s="17"/>
      <c r="AP1713" s="17"/>
      <c r="AQ1713" s="17"/>
    </row>
    <row r="1714" spans="24:43" x14ac:dyDescent="0.45">
      <c r="X1714" s="2"/>
      <c r="Y1714" s="2"/>
      <c r="AC1714" s="13"/>
      <c r="AD1714" s="13"/>
      <c r="AE1714" s="13"/>
      <c r="AF1714" s="17"/>
      <c r="AH1714" s="2"/>
      <c r="AL1714" s="17"/>
      <c r="AM1714" s="17"/>
      <c r="AN1714" s="17"/>
      <c r="AO1714" s="17"/>
      <c r="AP1714" s="17"/>
      <c r="AQ1714" s="17"/>
    </row>
    <row r="1715" spans="24:43" x14ac:dyDescent="0.45">
      <c r="X1715" s="2"/>
      <c r="Y1715" s="2"/>
      <c r="AC1715" s="13"/>
      <c r="AD1715" s="13"/>
      <c r="AE1715" s="13"/>
      <c r="AF1715" s="17"/>
      <c r="AH1715" s="2"/>
      <c r="AL1715" s="17"/>
      <c r="AM1715" s="17"/>
      <c r="AN1715" s="17"/>
      <c r="AO1715" s="17"/>
      <c r="AP1715" s="17"/>
      <c r="AQ1715" s="17"/>
    </row>
    <row r="1716" spans="24:43" x14ac:dyDescent="0.45">
      <c r="X1716" s="2"/>
      <c r="Y1716" s="2"/>
      <c r="AC1716" s="13"/>
      <c r="AD1716" s="13"/>
      <c r="AE1716" s="13"/>
      <c r="AF1716" s="17"/>
      <c r="AH1716" s="2"/>
      <c r="AL1716" s="17"/>
      <c r="AM1716" s="17"/>
      <c r="AN1716" s="17"/>
      <c r="AO1716" s="17"/>
      <c r="AP1716" s="17"/>
      <c r="AQ1716" s="17"/>
    </row>
    <row r="1717" spans="24:43" x14ac:dyDescent="0.45">
      <c r="X1717" s="2"/>
      <c r="Y1717" s="2"/>
      <c r="AC1717" s="13"/>
      <c r="AD1717" s="13"/>
      <c r="AE1717" s="13"/>
      <c r="AF1717" s="17"/>
      <c r="AH1717" s="2"/>
      <c r="AL1717" s="17"/>
      <c r="AM1717" s="17"/>
      <c r="AN1717" s="17"/>
      <c r="AO1717" s="17"/>
      <c r="AP1717" s="17"/>
      <c r="AQ1717" s="17"/>
    </row>
    <row r="1718" spans="24:43" x14ac:dyDescent="0.45">
      <c r="X1718" s="2"/>
      <c r="Y1718" s="2"/>
      <c r="AC1718" s="13"/>
      <c r="AD1718" s="13"/>
      <c r="AE1718" s="13"/>
      <c r="AF1718" s="17"/>
      <c r="AH1718" s="2"/>
      <c r="AL1718" s="17"/>
      <c r="AM1718" s="17"/>
      <c r="AN1718" s="17"/>
      <c r="AO1718" s="17"/>
      <c r="AP1718" s="17"/>
      <c r="AQ1718" s="17"/>
    </row>
    <row r="1719" spans="24:43" x14ac:dyDescent="0.45">
      <c r="X1719" s="2"/>
      <c r="Y1719" s="2"/>
      <c r="AC1719" s="13"/>
      <c r="AD1719" s="13"/>
      <c r="AE1719" s="13"/>
      <c r="AF1719" s="17"/>
      <c r="AH1719" s="2"/>
      <c r="AL1719" s="17"/>
      <c r="AM1719" s="17"/>
      <c r="AN1719" s="17"/>
      <c r="AO1719" s="17"/>
      <c r="AP1719" s="17"/>
      <c r="AQ1719" s="17"/>
    </row>
    <row r="1720" spans="24:43" x14ac:dyDescent="0.45">
      <c r="X1720" s="2"/>
      <c r="Y1720" s="2"/>
      <c r="AC1720" s="13"/>
      <c r="AD1720" s="13"/>
      <c r="AE1720" s="13"/>
      <c r="AF1720" s="17"/>
      <c r="AH1720" s="2"/>
      <c r="AL1720" s="17"/>
      <c r="AM1720" s="17"/>
      <c r="AN1720" s="17"/>
      <c r="AO1720" s="17"/>
      <c r="AP1720" s="17"/>
      <c r="AQ1720" s="17"/>
    </row>
    <row r="1721" spans="24:43" x14ac:dyDescent="0.45">
      <c r="X1721" s="2"/>
      <c r="Y1721" s="2"/>
      <c r="AC1721" s="13"/>
      <c r="AD1721" s="13"/>
      <c r="AE1721" s="13"/>
      <c r="AF1721" s="17"/>
      <c r="AH1721" s="2"/>
      <c r="AL1721" s="17"/>
      <c r="AM1721" s="17"/>
      <c r="AN1721" s="17"/>
      <c r="AO1721" s="17"/>
      <c r="AP1721" s="17"/>
      <c r="AQ1721" s="17"/>
    </row>
    <row r="1722" spans="24:43" x14ac:dyDescent="0.45">
      <c r="X1722" s="2"/>
      <c r="Y1722" s="2"/>
      <c r="AC1722" s="13"/>
      <c r="AD1722" s="13"/>
      <c r="AE1722" s="13"/>
      <c r="AF1722" s="17"/>
      <c r="AH1722" s="2"/>
      <c r="AL1722" s="17"/>
      <c r="AM1722" s="17"/>
      <c r="AN1722" s="17"/>
      <c r="AO1722" s="17"/>
      <c r="AP1722" s="17"/>
      <c r="AQ1722" s="17"/>
    </row>
    <row r="1723" spans="24:43" x14ac:dyDescent="0.45">
      <c r="X1723" s="2"/>
      <c r="Y1723" s="2"/>
      <c r="AC1723" s="13"/>
      <c r="AD1723" s="13"/>
      <c r="AE1723" s="13"/>
      <c r="AF1723" s="17"/>
      <c r="AH1723" s="2"/>
      <c r="AL1723" s="17"/>
      <c r="AM1723" s="17"/>
      <c r="AN1723" s="17"/>
      <c r="AO1723" s="17"/>
      <c r="AP1723" s="17"/>
      <c r="AQ1723" s="17"/>
    </row>
    <row r="1724" spans="24:43" x14ac:dyDescent="0.45">
      <c r="X1724" s="2"/>
      <c r="Y1724" s="2"/>
      <c r="AC1724" s="13"/>
      <c r="AD1724" s="13"/>
      <c r="AE1724" s="13"/>
      <c r="AF1724" s="17"/>
      <c r="AH1724" s="2"/>
      <c r="AL1724" s="17"/>
      <c r="AM1724" s="17"/>
      <c r="AN1724" s="17"/>
      <c r="AO1724" s="17"/>
      <c r="AP1724" s="17"/>
      <c r="AQ1724" s="17"/>
    </row>
    <row r="1725" spans="24:43" x14ac:dyDescent="0.45">
      <c r="X1725" s="2"/>
      <c r="Y1725" s="2"/>
      <c r="AC1725" s="13"/>
      <c r="AD1725" s="13"/>
      <c r="AE1725" s="13"/>
      <c r="AF1725" s="17"/>
      <c r="AH1725" s="2"/>
      <c r="AL1725" s="17"/>
      <c r="AM1725" s="17"/>
      <c r="AN1725" s="17"/>
      <c r="AO1725" s="17"/>
      <c r="AP1725" s="17"/>
      <c r="AQ1725" s="17"/>
    </row>
    <row r="1726" spans="24:43" x14ac:dyDescent="0.45">
      <c r="X1726" s="2"/>
      <c r="Y1726" s="2"/>
      <c r="AC1726" s="13"/>
      <c r="AD1726" s="13"/>
      <c r="AE1726" s="13"/>
      <c r="AF1726" s="17"/>
      <c r="AH1726" s="2"/>
      <c r="AL1726" s="17"/>
      <c r="AM1726" s="17"/>
      <c r="AN1726" s="17"/>
      <c r="AO1726" s="17"/>
      <c r="AP1726" s="17"/>
      <c r="AQ1726" s="17"/>
    </row>
    <row r="1727" spans="24:43" x14ac:dyDescent="0.45">
      <c r="X1727" s="2"/>
      <c r="Y1727" s="2"/>
      <c r="AC1727" s="13"/>
      <c r="AD1727" s="13"/>
      <c r="AE1727" s="13"/>
      <c r="AF1727" s="17"/>
      <c r="AH1727" s="2"/>
      <c r="AL1727" s="17"/>
      <c r="AM1727" s="17"/>
      <c r="AN1727" s="17"/>
      <c r="AO1727" s="17"/>
      <c r="AP1727" s="17"/>
      <c r="AQ1727" s="17"/>
    </row>
    <row r="1728" spans="24:43" x14ac:dyDescent="0.45">
      <c r="X1728" s="2"/>
      <c r="Y1728" s="2"/>
      <c r="AC1728" s="13"/>
      <c r="AD1728" s="13"/>
      <c r="AE1728" s="13"/>
      <c r="AF1728" s="17"/>
      <c r="AH1728" s="2"/>
      <c r="AL1728" s="17"/>
      <c r="AM1728" s="17"/>
      <c r="AN1728" s="17"/>
      <c r="AO1728" s="17"/>
      <c r="AP1728" s="17"/>
      <c r="AQ1728" s="17"/>
    </row>
    <row r="1729" spans="24:43" x14ac:dyDescent="0.45">
      <c r="X1729" s="2"/>
      <c r="Y1729" s="2"/>
      <c r="AC1729" s="13"/>
      <c r="AD1729" s="13"/>
      <c r="AE1729" s="13"/>
      <c r="AF1729" s="17"/>
      <c r="AH1729" s="2"/>
      <c r="AL1729" s="17"/>
      <c r="AM1729" s="17"/>
      <c r="AN1729" s="17"/>
      <c r="AO1729" s="17"/>
      <c r="AP1729" s="17"/>
      <c r="AQ1729" s="17"/>
    </row>
    <row r="1730" spans="24:43" x14ac:dyDescent="0.45">
      <c r="X1730" s="2"/>
      <c r="Y1730" s="2"/>
      <c r="AC1730" s="13"/>
      <c r="AD1730" s="13"/>
      <c r="AE1730" s="13"/>
      <c r="AF1730" s="17"/>
      <c r="AH1730" s="2"/>
      <c r="AL1730" s="17"/>
      <c r="AM1730" s="17"/>
      <c r="AN1730" s="17"/>
      <c r="AO1730" s="17"/>
      <c r="AP1730" s="17"/>
      <c r="AQ1730" s="17"/>
    </row>
    <row r="1731" spans="24:43" x14ac:dyDescent="0.45">
      <c r="X1731" s="2"/>
      <c r="Y1731" s="2"/>
      <c r="AC1731" s="13"/>
      <c r="AD1731" s="13"/>
      <c r="AE1731" s="13"/>
      <c r="AF1731" s="17"/>
      <c r="AH1731" s="2"/>
      <c r="AL1731" s="17"/>
      <c r="AM1731" s="17"/>
      <c r="AN1731" s="17"/>
      <c r="AO1731" s="17"/>
      <c r="AP1731" s="17"/>
      <c r="AQ1731" s="17"/>
    </row>
    <row r="1732" spans="24:43" x14ac:dyDescent="0.45">
      <c r="X1732" s="2"/>
      <c r="Y1732" s="2"/>
      <c r="AC1732" s="13"/>
      <c r="AD1732" s="13"/>
      <c r="AE1732" s="13"/>
      <c r="AF1732" s="17"/>
      <c r="AH1732" s="2"/>
      <c r="AL1732" s="17"/>
      <c r="AM1732" s="17"/>
      <c r="AN1732" s="17"/>
      <c r="AO1732" s="17"/>
      <c r="AP1732" s="17"/>
      <c r="AQ1732" s="17"/>
    </row>
    <row r="1733" spans="24:43" x14ac:dyDescent="0.45">
      <c r="X1733" s="2"/>
      <c r="Y1733" s="2"/>
      <c r="AC1733" s="13"/>
      <c r="AD1733" s="13"/>
      <c r="AE1733" s="13"/>
      <c r="AF1733" s="17"/>
      <c r="AH1733" s="2"/>
      <c r="AL1733" s="17"/>
      <c r="AM1733" s="17"/>
      <c r="AN1733" s="17"/>
      <c r="AO1733" s="17"/>
      <c r="AP1733" s="17"/>
      <c r="AQ1733" s="17"/>
    </row>
    <row r="1734" spans="24:43" x14ac:dyDescent="0.45">
      <c r="X1734" s="2"/>
      <c r="Y1734" s="2"/>
      <c r="AC1734" s="13"/>
      <c r="AD1734" s="13"/>
      <c r="AE1734" s="13"/>
      <c r="AF1734" s="17"/>
      <c r="AH1734" s="2"/>
      <c r="AL1734" s="17"/>
      <c r="AM1734" s="17"/>
      <c r="AN1734" s="17"/>
      <c r="AO1734" s="17"/>
      <c r="AP1734" s="17"/>
      <c r="AQ1734" s="17"/>
    </row>
    <row r="1735" spans="24:43" x14ac:dyDescent="0.45">
      <c r="X1735" s="2"/>
      <c r="Y1735" s="2"/>
      <c r="AC1735" s="13"/>
      <c r="AD1735" s="13"/>
      <c r="AE1735" s="13"/>
      <c r="AF1735" s="17"/>
      <c r="AH1735" s="2"/>
      <c r="AL1735" s="17"/>
      <c r="AM1735" s="17"/>
      <c r="AN1735" s="17"/>
      <c r="AO1735" s="17"/>
      <c r="AP1735" s="17"/>
      <c r="AQ1735" s="17"/>
    </row>
    <row r="1736" spans="24:43" x14ac:dyDescent="0.45">
      <c r="X1736" s="2"/>
      <c r="Y1736" s="2"/>
      <c r="AC1736" s="13"/>
      <c r="AD1736" s="13"/>
      <c r="AE1736" s="13"/>
      <c r="AF1736" s="17"/>
      <c r="AH1736" s="2"/>
      <c r="AL1736" s="17"/>
      <c r="AM1736" s="17"/>
      <c r="AN1736" s="17"/>
      <c r="AO1736" s="17"/>
      <c r="AP1736" s="17"/>
      <c r="AQ1736" s="17"/>
    </row>
    <row r="1737" spans="24:43" x14ac:dyDescent="0.45">
      <c r="X1737" s="2"/>
      <c r="Y1737" s="2"/>
      <c r="AC1737" s="13"/>
      <c r="AD1737" s="13"/>
      <c r="AE1737" s="13"/>
      <c r="AF1737" s="17"/>
      <c r="AH1737" s="2"/>
      <c r="AL1737" s="17"/>
      <c r="AM1737" s="17"/>
      <c r="AN1737" s="17"/>
      <c r="AO1737" s="17"/>
      <c r="AP1737" s="17"/>
      <c r="AQ1737" s="17"/>
    </row>
    <row r="1738" spans="24:43" x14ac:dyDescent="0.45">
      <c r="X1738" s="2"/>
      <c r="Y1738" s="2"/>
      <c r="AC1738" s="13"/>
      <c r="AD1738" s="13"/>
      <c r="AE1738" s="13"/>
      <c r="AF1738" s="17"/>
      <c r="AH1738" s="2"/>
      <c r="AL1738" s="17"/>
      <c r="AM1738" s="17"/>
      <c r="AN1738" s="17"/>
      <c r="AO1738" s="17"/>
      <c r="AP1738" s="17"/>
      <c r="AQ1738" s="17"/>
    </row>
    <row r="1739" spans="24:43" x14ac:dyDescent="0.45">
      <c r="X1739" s="2"/>
      <c r="Y1739" s="2"/>
      <c r="AC1739" s="13"/>
      <c r="AD1739" s="13"/>
      <c r="AE1739" s="13"/>
      <c r="AF1739" s="17"/>
      <c r="AH1739" s="2"/>
      <c r="AL1739" s="17"/>
      <c r="AM1739" s="17"/>
      <c r="AN1739" s="17"/>
      <c r="AO1739" s="17"/>
      <c r="AP1739" s="17"/>
      <c r="AQ1739" s="17"/>
    </row>
    <row r="1740" spans="24:43" x14ac:dyDescent="0.45">
      <c r="X1740" s="2"/>
      <c r="Y1740" s="2"/>
      <c r="AC1740" s="13"/>
      <c r="AD1740" s="13"/>
      <c r="AE1740" s="13"/>
      <c r="AF1740" s="17"/>
      <c r="AH1740" s="2"/>
      <c r="AL1740" s="17"/>
      <c r="AM1740" s="17"/>
      <c r="AN1740" s="17"/>
      <c r="AO1740" s="17"/>
      <c r="AP1740" s="17"/>
      <c r="AQ1740" s="17"/>
    </row>
    <row r="1741" spans="24:43" x14ac:dyDescent="0.45">
      <c r="X1741" s="2"/>
      <c r="Y1741" s="2"/>
      <c r="AC1741" s="13"/>
      <c r="AD1741" s="13"/>
      <c r="AE1741" s="13"/>
      <c r="AF1741" s="17"/>
      <c r="AH1741" s="2"/>
      <c r="AL1741" s="17"/>
      <c r="AM1741" s="17"/>
      <c r="AN1741" s="17"/>
      <c r="AO1741" s="17"/>
      <c r="AP1741" s="17"/>
      <c r="AQ1741" s="17"/>
    </row>
    <row r="1742" spans="24:43" x14ac:dyDescent="0.45">
      <c r="X1742" s="2"/>
      <c r="Y1742" s="2"/>
      <c r="AC1742" s="13"/>
      <c r="AD1742" s="13"/>
      <c r="AE1742" s="13"/>
      <c r="AF1742" s="17"/>
      <c r="AH1742" s="2"/>
      <c r="AL1742" s="17"/>
      <c r="AM1742" s="17"/>
      <c r="AN1742" s="17"/>
      <c r="AO1742" s="17"/>
      <c r="AP1742" s="17"/>
      <c r="AQ1742" s="17"/>
    </row>
    <row r="1743" spans="24:43" x14ac:dyDescent="0.45">
      <c r="X1743" s="2"/>
      <c r="Y1743" s="2"/>
      <c r="AC1743" s="13"/>
      <c r="AD1743" s="13"/>
      <c r="AE1743" s="13"/>
      <c r="AF1743" s="17"/>
      <c r="AH1743" s="2"/>
      <c r="AL1743" s="17"/>
      <c r="AM1743" s="17"/>
      <c r="AN1743" s="17"/>
      <c r="AO1743" s="17"/>
      <c r="AP1743" s="17"/>
      <c r="AQ1743" s="17"/>
    </row>
    <row r="1744" spans="24:43" x14ac:dyDescent="0.45">
      <c r="X1744" s="2"/>
      <c r="Y1744" s="2"/>
      <c r="AC1744" s="13"/>
      <c r="AD1744" s="13"/>
      <c r="AE1744" s="13"/>
      <c r="AF1744" s="17"/>
      <c r="AH1744" s="2"/>
      <c r="AL1744" s="17"/>
      <c r="AM1744" s="17"/>
      <c r="AN1744" s="17"/>
      <c r="AO1744" s="17"/>
      <c r="AP1744" s="17"/>
      <c r="AQ1744" s="17"/>
    </row>
    <row r="1745" spans="24:43" x14ac:dyDescent="0.45">
      <c r="X1745" s="2"/>
      <c r="Y1745" s="2"/>
      <c r="AC1745" s="13"/>
      <c r="AD1745" s="13"/>
      <c r="AE1745" s="13"/>
      <c r="AF1745" s="17"/>
      <c r="AH1745" s="2"/>
      <c r="AL1745" s="17"/>
      <c r="AM1745" s="17"/>
      <c r="AN1745" s="17"/>
      <c r="AO1745" s="17"/>
      <c r="AP1745" s="17"/>
      <c r="AQ1745" s="17"/>
    </row>
    <row r="1746" spans="24:43" x14ac:dyDescent="0.45">
      <c r="X1746" s="2"/>
      <c r="Y1746" s="2"/>
      <c r="AC1746" s="13"/>
      <c r="AD1746" s="13"/>
      <c r="AE1746" s="13"/>
      <c r="AF1746" s="17"/>
      <c r="AH1746" s="2"/>
      <c r="AL1746" s="17"/>
      <c r="AM1746" s="17"/>
      <c r="AN1746" s="17"/>
      <c r="AO1746" s="17"/>
      <c r="AP1746" s="17"/>
      <c r="AQ1746" s="17"/>
    </row>
    <row r="1747" spans="24:43" x14ac:dyDescent="0.45">
      <c r="X1747" s="2"/>
      <c r="Y1747" s="2"/>
      <c r="AC1747" s="13"/>
      <c r="AD1747" s="13"/>
      <c r="AE1747" s="13"/>
      <c r="AF1747" s="17"/>
      <c r="AH1747" s="2"/>
      <c r="AL1747" s="17"/>
      <c r="AM1747" s="17"/>
      <c r="AN1747" s="17"/>
      <c r="AO1747" s="17"/>
      <c r="AP1747" s="17"/>
      <c r="AQ1747" s="17"/>
    </row>
    <row r="1748" spans="24:43" x14ac:dyDescent="0.45">
      <c r="X1748" s="2"/>
      <c r="Y1748" s="2"/>
      <c r="AC1748" s="13"/>
      <c r="AD1748" s="13"/>
      <c r="AE1748" s="13"/>
      <c r="AF1748" s="17"/>
      <c r="AH1748" s="2"/>
      <c r="AL1748" s="17"/>
      <c r="AM1748" s="17"/>
      <c r="AN1748" s="17"/>
      <c r="AO1748" s="17"/>
      <c r="AP1748" s="17"/>
      <c r="AQ1748" s="17"/>
    </row>
    <row r="1749" spans="24:43" x14ac:dyDescent="0.45">
      <c r="X1749" s="2"/>
      <c r="Y1749" s="2"/>
      <c r="AC1749" s="13"/>
      <c r="AD1749" s="13"/>
      <c r="AE1749" s="13"/>
      <c r="AF1749" s="17"/>
      <c r="AH1749" s="2"/>
      <c r="AL1749" s="17"/>
      <c r="AM1749" s="17"/>
      <c r="AN1749" s="17"/>
      <c r="AO1749" s="17"/>
      <c r="AP1749" s="17"/>
      <c r="AQ1749" s="17"/>
    </row>
    <row r="1750" spans="24:43" x14ac:dyDescent="0.45">
      <c r="X1750" s="2"/>
      <c r="Y1750" s="2"/>
      <c r="AC1750" s="13"/>
      <c r="AD1750" s="13"/>
      <c r="AE1750" s="13"/>
      <c r="AF1750" s="17"/>
      <c r="AH1750" s="2"/>
      <c r="AL1750" s="17"/>
      <c r="AM1750" s="17"/>
      <c r="AN1750" s="17"/>
      <c r="AO1750" s="17"/>
      <c r="AP1750" s="17"/>
      <c r="AQ1750" s="17"/>
    </row>
    <row r="1751" spans="24:43" x14ac:dyDescent="0.45">
      <c r="X1751" s="2"/>
      <c r="Y1751" s="2"/>
      <c r="AC1751" s="13"/>
      <c r="AD1751" s="13"/>
      <c r="AE1751" s="13"/>
      <c r="AF1751" s="17"/>
      <c r="AH1751" s="2"/>
      <c r="AL1751" s="17"/>
      <c r="AM1751" s="17"/>
      <c r="AN1751" s="17"/>
      <c r="AO1751" s="17"/>
      <c r="AP1751" s="17"/>
      <c r="AQ1751" s="17"/>
    </row>
    <row r="1752" spans="24:43" x14ac:dyDescent="0.45">
      <c r="X1752" s="2"/>
      <c r="Y1752" s="2"/>
      <c r="AC1752" s="13"/>
      <c r="AD1752" s="13"/>
      <c r="AE1752" s="13"/>
      <c r="AF1752" s="17"/>
      <c r="AH1752" s="2"/>
      <c r="AL1752" s="17"/>
      <c r="AM1752" s="17"/>
      <c r="AN1752" s="17"/>
      <c r="AO1752" s="17"/>
      <c r="AP1752" s="17"/>
      <c r="AQ1752" s="17"/>
    </row>
    <row r="1753" spans="24:43" x14ac:dyDescent="0.45">
      <c r="X1753" s="2"/>
      <c r="Y1753" s="2"/>
      <c r="AC1753" s="13"/>
      <c r="AD1753" s="13"/>
      <c r="AE1753" s="13"/>
      <c r="AF1753" s="17"/>
      <c r="AH1753" s="2"/>
      <c r="AL1753" s="17"/>
      <c r="AM1753" s="17"/>
      <c r="AN1753" s="17"/>
      <c r="AO1753" s="17"/>
      <c r="AP1753" s="17"/>
      <c r="AQ1753" s="17"/>
    </row>
    <row r="1754" spans="24:43" x14ac:dyDescent="0.45">
      <c r="X1754" s="2"/>
      <c r="Y1754" s="2"/>
      <c r="AC1754" s="13"/>
      <c r="AD1754" s="13"/>
      <c r="AE1754" s="13"/>
      <c r="AF1754" s="17"/>
      <c r="AH1754" s="2"/>
      <c r="AL1754" s="17"/>
      <c r="AM1754" s="17"/>
      <c r="AN1754" s="17"/>
      <c r="AO1754" s="17"/>
      <c r="AP1754" s="17"/>
      <c r="AQ1754" s="17"/>
    </row>
    <row r="1755" spans="24:43" x14ac:dyDescent="0.45">
      <c r="X1755" s="2"/>
      <c r="Y1755" s="2"/>
      <c r="AC1755" s="13"/>
      <c r="AD1755" s="13"/>
      <c r="AE1755" s="13"/>
      <c r="AF1755" s="17"/>
      <c r="AH1755" s="2"/>
      <c r="AL1755" s="17"/>
      <c r="AM1755" s="17"/>
      <c r="AN1755" s="17"/>
      <c r="AO1755" s="17"/>
      <c r="AP1755" s="17"/>
      <c r="AQ1755" s="17"/>
    </row>
    <row r="1756" spans="24:43" x14ac:dyDescent="0.45">
      <c r="X1756" s="2"/>
      <c r="Y1756" s="2"/>
      <c r="AC1756" s="13"/>
      <c r="AD1756" s="13"/>
      <c r="AE1756" s="13"/>
      <c r="AF1756" s="17"/>
      <c r="AH1756" s="2"/>
      <c r="AL1756" s="17"/>
      <c r="AM1756" s="17"/>
      <c r="AN1756" s="17"/>
      <c r="AO1756" s="17"/>
      <c r="AP1756" s="17"/>
      <c r="AQ1756" s="17"/>
    </row>
    <row r="1757" spans="24:43" x14ac:dyDescent="0.45">
      <c r="X1757" s="2"/>
      <c r="Y1757" s="2"/>
      <c r="AC1757" s="13"/>
      <c r="AD1757" s="13"/>
      <c r="AE1757" s="13"/>
      <c r="AF1757" s="17"/>
      <c r="AH1757" s="2"/>
      <c r="AL1757" s="17"/>
      <c r="AM1757" s="17"/>
      <c r="AN1757" s="17"/>
      <c r="AO1757" s="17"/>
      <c r="AP1757" s="17"/>
      <c r="AQ1757" s="17"/>
    </row>
    <row r="1758" spans="24:43" x14ac:dyDescent="0.45">
      <c r="X1758" s="2"/>
      <c r="Y1758" s="2"/>
      <c r="AC1758" s="13"/>
      <c r="AD1758" s="13"/>
      <c r="AE1758" s="13"/>
      <c r="AF1758" s="17"/>
      <c r="AH1758" s="2"/>
      <c r="AL1758" s="17"/>
      <c r="AM1758" s="17"/>
      <c r="AN1758" s="17"/>
      <c r="AO1758" s="17"/>
      <c r="AP1758" s="17"/>
      <c r="AQ1758" s="17"/>
    </row>
    <row r="1759" spans="24:43" x14ac:dyDescent="0.45">
      <c r="X1759" s="2"/>
      <c r="Y1759" s="2"/>
      <c r="AC1759" s="13"/>
      <c r="AD1759" s="13"/>
      <c r="AE1759" s="13"/>
      <c r="AF1759" s="17"/>
      <c r="AH1759" s="2"/>
      <c r="AL1759" s="17"/>
      <c r="AM1759" s="17"/>
      <c r="AN1759" s="17"/>
      <c r="AO1759" s="17"/>
      <c r="AP1759" s="17"/>
      <c r="AQ1759" s="17"/>
    </row>
    <row r="1760" spans="24:43" x14ac:dyDescent="0.45">
      <c r="X1760" s="2"/>
      <c r="Y1760" s="2"/>
      <c r="AC1760" s="13"/>
      <c r="AD1760" s="13"/>
      <c r="AE1760" s="13"/>
      <c r="AF1760" s="17"/>
      <c r="AH1760" s="2"/>
      <c r="AL1760" s="17"/>
      <c r="AM1760" s="17"/>
      <c r="AN1760" s="17"/>
      <c r="AO1760" s="17"/>
      <c r="AP1760" s="17"/>
      <c r="AQ1760" s="17"/>
    </row>
    <row r="1761" spans="24:43" x14ac:dyDescent="0.45">
      <c r="X1761" s="2"/>
      <c r="Y1761" s="2"/>
      <c r="AC1761" s="13"/>
      <c r="AD1761" s="13"/>
      <c r="AE1761" s="13"/>
      <c r="AF1761" s="17"/>
      <c r="AH1761" s="2"/>
      <c r="AL1761" s="17"/>
      <c r="AM1761" s="17"/>
      <c r="AN1761" s="17"/>
      <c r="AO1761" s="17"/>
      <c r="AP1761" s="17"/>
      <c r="AQ1761" s="17"/>
    </row>
    <row r="1762" spans="24:43" x14ac:dyDescent="0.45">
      <c r="X1762" s="2"/>
      <c r="Y1762" s="2"/>
      <c r="AC1762" s="13"/>
      <c r="AD1762" s="13"/>
      <c r="AE1762" s="13"/>
      <c r="AF1762" s="17"/>
      <c r="AH1762" s="2"/>
      <c r="AL1762" s="17"/>
      <c r="AM1762" s="17"/>
      <c r="AN1762" s="17"/>
      <c r="AO1762" s="17"/>
      <c r="AP1762" s="17"/>
      <c r="AQ1762" s="17"/>
    </row>
    <row r="1763" spans="24:43" x14ac:dyDescent="0.45">
      <c r="X1763" s="2"/>
      <c r="Y1763" s="2"/>
      <c r="AC1763" s="13"/>
      <c r="AD1763" s="13"/>
      <c r="AE1763" s="13"/>
      <c r="AF1763" s="17"/>
      <c r="AH1763" s="2"/>
      <c r="AL1763" s="17"/>
      <c r="AM1763" s="17"/>
      <c r="AN1763" s="17"/>
      <c r="AO1763" s="17"/>
      <c r="AP1763" s="17"/>
      <c r="AQ1763" s="17"/>
    </row>
    <row r="1764" spans="24:43" x14ac:dyDescent="0.45">
      <c r="X1764" s="2"/>
      <c r="Y1764" s="2"/>
      <c r="AC1764" s="13"/>
      <c r="AD1764" s="13"/>
      <c r="AE1764" s="13"/>
      <c r="AF1764" s="17"/>
      <c r="AH1764" s="2"/>
      <c r="AL1764" s="17"/>
      <c r="AM1764" s="17"/>
      <c r="AN1764" s="17"/>
      <c r="AO1764" s="17"/>
      <c r="AP1764" s="17"/>
      <c r="AQ1764" s="17"/>
    </row>
    <row r="1765" spans="24:43" x14ac:dyDescent="0.45">
      <c r="X1765" s="2"/>
      <c r="Y1765" s="2"/>
      <c r="AC1765" s="13"/>
      <c r="AD1765" s="13"/>
      <c r="AE1765" s="13"/>
      <c r="AF1765" s="17"/>
      <c r="AH1765" s="2"/>
      <c r="AL1765" s="17"/>
      <c r="AM1765" s="17"/>
      <c r="AN1765" s="17"/>
      <c r="AO1765" s="17"/>
      <c r="AP1765" s="17"/>
      <c r="AQ1765" s="17"/>
    </row>
    <row r="1766" spans="24:43" x14ac:dyDescent="0.45">
      <c r="X1766" s="2"/>
      <c r="Y1766" s="2"/>
      <c r="AC1766" s="13"/>
      <c r="AD1766" s="13"/>
      <c r="AE1766" s="13"/>
      <c r="AF1766" s="17"/>
      <c r="AH1766" s="2"/>
      <c r="AL1766" s="17"/>
      <c r="AM1766" s="17"/>
      <c r="AN1766" s="17"/>
      <c r="AO1766" s="17"/>
      <c r="AP1766" s="17"/>
      <c r="AQ1766" s="17"/>
    </row>
    <row r="1767" spans="24:43" x14ac:dyDescent="0.45">
      <c r="X1767" s="2"/>
      <c r="Y1767" s="2"/>
      <c r="AC1767" s="13"/>
      <c r="AD1767" s="13"/>
      <c r="AE1767" s="13"/>
      <c r="AF1767" s="17"/>
      <c r="AH1767" s="2"/>
      <c r="AL1767" s="17"/>
      <c r="AM1767" s="17"/>
      <c r="AN1767" s="17"/>
      <c r="AO1767" s="17"/>
      <c r="AP1767" s="17"/>
      <c r="AQ1767" s="17"/>
    </row>
    <row r="1768" spans="24:43" x14ac:dyDescent="0.45">
      <c r="X1768" s="2"/>
      <c r="Y1768" s="2"/>
      <c r="AC1768" s="13"/>
      <c r="AD1768" s="13"/>
      <c r="AE1768" s="13"/>
      <c r="AF1768" s="17"/>
      <c r="AH1768" s="2"/>
      <c r="AL1768" s="17"/>
      <c r="AM1768" s="17"/>
      <c r="AN1768" s="17"/>
      <c r="AO1768" s="17"/>
      <c r="AP1768" s="17"/>
      <c r="AQ1768" s="17"/>
    </row>
    <row r="1769" spans="24:43" x14ac:dyDescent="0.45">
      <c r="X1769" s="2"/>
      <c r="Y1769" s="2"/>
      <c r="AC1769" s="13"/>
      <c r="AD1769" s="13"/>
      <c r="AE1769" s="13"/>
      <c r="AF1769" s="17"/>
      <c r="AH1769" s="2"/>
      <c r="AL1769" s="17"/>
      <c r="AM1769" s="17"/>
      <c r="AN1769" s="17"/>
      <c r="AO1769" s="17"/>
      <c r="AP1769" s="17"/>
      <c r="AQ1769" s="17"/>
    </row>
    <row r="1770" spans="24:43" x14ac:dyDescent="0.45">
      <c r="X1770" s="2"/>
      <c r="Y1770" s="2"/>
      <c r="AC1770" s="13"/>
      <c r="AD1770" s="13"/>
      <c r="AE1770" s="13"/>
      <c r="AF1770" s="17"/>
      <c r="AH1770" s="2"/>
      <c r="AL1770" s="17"/>
      <c r="AM1770" s="17"/>
      <c r="AN1770" s="17"/>
      <c r="AO1770" s="17"/>
      <c r="AP1770" s="17"/>
      <c r="AQ1770" s="17"/>
    </row>
    <row r="1771" spans="24:43" x14ac:dyDescent="0.45">
      <c r="X1771" s="2"/>
      <c r="Y1771" s="2"/>
      <c r="AC1771" s="13"/>
      <c r="AD1771" s="13"/>
      <c r="AE1771" s="13"/>
      <c r="AF1771" s="17"/>
      <c r="AH1771" s="2"/>
      <c r="AL1771" s="17"/>
      <c r="AM1771" s="17"/>
      <c r="AN1771" s="17"/>
      <c r="AO1771" s="17"/>
      <c r="AP1771" s="17"/>
      <c r="AQ1771" s="17"/>
    </row>
    <row r="1772" spans="24:43" x14ac:dyDescent="0.45">
      <c r="X1772" s="2"/>
      <c r="Y1772" s="2"/>
      <c r="AC1772" s="13"/>
      <c r="AD1772" s="13"/>
      <c r="AE1772" s="13"/>
      <c r="AF1772" s="17"/>
      <c r="AH1772" s="2"/>
      <c r="AL1772" s="17"/>
      <c r="AM1772" s="17"/>
      <c r="AN1772" s="17"/>
      <c r="AO1772" s="17"/>
      <c r="AP1772" s="17"/>
      <c r="AQ1772" s="17"/>
    </row>
    <row r="1773" spans="24:43" x14ac:dyDescent="0.45">
      <c r="X1773" s="2"/>
      <c r="Y1773" s="2"/>
      <c r="AC1773" s="13"/>
      <c r="AD1773" s="13"/>
      <c r="AE1773" s="13"/>
      <c r="AF1773" s="17"/>
      <c r="AH1773" s="2"/>
      <c r="AL1773" s="17"/>
      <c r="AM1773" s="17"/>
      <c r="AN1773" s="17"/>
      <c r="AO1773" s="17"/>
      <c r="AP1773" s="17"/>
      <c r="AQ1773" s="17"/>
    </row>
    <row r="1774" spans="24:43" x14ac:dyDescent="0.45">
      <c r="X1774" s="2"/>
      <c r="Y1774" s="2"/>
      <c r="AC1774" s="13"/>
      <c r="AD1774" s="13"/>
      <c r="AE1774" s="13"/>
      <c r="AF1774" s="17"/>
      <c r="AH1774" s="2"/>
      <c r="AL1774" s="17"/>
      <c r="AM1774" s="17"/>
      <c r="AN1774" s="17"/>
      <c r="AO1774" s="17"/>
      <c r="AP1774" s="17"/>
      <c r="AQ1774" s="17"/>
    </row>
    <row r="1775" spans="24:43" x14ac:dyDescent="0.45">
      <c r="X1775" s="2"/>
      <c r="Y1775" s="2"/>
      <c r="AC1775" s="13"/>
      <c r="AD1775" s="13"/>
      <c r="AE1775" s="13"/>
      <c r="AF1775" s="17"/>
      <c r="AH1775" s="2"/>
      <c r="AL1775" s="17"/>
      <c r="AM1775" s="17"/>
      <c r="AN1775" s="17"/>
      <c r="AO1775" s="17"/>
      <c r="AP1775" s="17"/>
      <c r="AQ1775" s="17"/>
    </row>
    <row r="1776" spans="24:43" x14ac:dyDescent="0.45">
      <c r="X1776" s="2"/>
      <c r="Y1776" s="2"/>
      <c r="AC1776" s="13"/>
      <c r="AD1776" s="13"/>
      <c r="AE1776" s="13"/>
      <c r="AF1776" s="17"/>
      <c r="AH1776" s="2"/>
      <c r="AL1776" s="17"/>
      <c r="AM1776" s="17"/>
      <c r="AN1776" s="17"/>
      <c r="AO1776" s="17"/>
      <c r="AP1776" s="17"/>
      <c r="AQ1776" s="17"/>
    </row>
    <row r="1777" spans="24:43" x14ac:dyDescent="0.45">
      <c r="X1777" s="2"/>
      <c r="Y1777" s="2"/>
      <c r="AC1777" s="13"/>
      <c r="AD1777" s="13"/>
      <c r="AE1777" s="13"/>
      <c r="AF1777" s="17"/>
      <c r="AH1777" s="2"/>
      <c r="AL1777" s="17"/>
      <c r="AM1777" s="17"/>
      <c r="AN1777" s="17"/>
      <c r="AO1777" s="17"/>
      <c r="AP1777" s="17"/>
      <c r="AQ1777" s="17"/>
    </row>
    <row r="1778" spans="24:43" x14ac:dyDescent="0.45">
      <c r="X1778" s="2"/>
      <c r="Y1778" s="2"/>
      <c r="AC1778" s="13"/>
      <c r="AD1778" s="13"/>
      <c r="AE1778" s="13"/>
      <c r="AF1778" s="17"/>
      <c r="AH1778" s="2"/>
      <c r="AL1778" s="17"/>
      <c r="AM1778" s="17"/>
      <c r="AN1778" s="17"/>
      <c r="AO1778" s="17"/>
      <c r="AP1778" s="17"/>
      <c r="AQ1778" s="17"/>
    </row>
    <row r="1779" spans="24:43" x14ac:dyDescent="0.45">
      <c r="X1779" s="2"/>
      <c r="Y1779" s="2"/>
      <c r="AC1779" s="13"/>
      <c r="AD1779" s="13"/>
      <c r="AE1779" s="13"/>
      <c r="AF1779" s="17"/>
      <c r="AH1779" s="2"/>
      <c r="AL1779" s="17"/>
      <c r="AM1779" s="17"/>
      <c r="AN1779" s="17"/>
      <c r="AO1779" s="17"/>
      <c r="AP1779" s="17"/>
      <c r="AQ1779" s="17"/>
    </row>
    <row r="1780" spans="24:43" x14ac:dyDescent="0.45">
      <c r="X1780" s="2"/>
      <c r="Y1780" s="2"/>
      <c r="AC1780" s="13"/>
      <c r="AD1780" s="13"/>
      <c r="AE1780" s="13"/>
      <c r="AF1780" s="17"/>
      <c r="AH1780" s="2"/>
      <c r="AL1780" s="17"/>
      <c r="AM1780" s="17"/>
      <c r="AN1780" s="17"/>
      <c r="AO1780" s="17"/>
      <c r="AP1780" s="17"/>
      <c r="AQ1780" s="17"/>
    </row>
    <row r="1781" spans="24:43" x14ac:dyDescent="0.45">
      <c r="X1781" s="2"/>
      <c r="Y1781" s="2"/>
      <c r="AC1781" s="13"/>
      <c r="AD1781" s="13"/>
      <c r="AE1781" s="13"/>
      <c r="AF1781" s="17"/>
      <c r="AH1781" s="2"/>
      <c r="AL1781" s="17"/>
      <c r="AM1781" s="17"/>
      <c r="AN1781" s="17"/>
      <c r="AO1781" s="17"/>
      <c r="AP1781" s="17"/>
      <c r="AQ1781" s="17"/>
    </row>
    <row r="1782" spans="24:43" x14ac:dyDescent="0.45">
      <c r="X1782" s="2"/>
      <c r="Y1782" s="2"/>
      <c r="AC1782" s="13"/>
      <c r="AD1782" s="13"/>
      <c r="AE1782" s="13"/>
      <c r="AF1782" s="17"/>
      <c r="AH1782" s="2"/>
      <c r="AL1782" s="17"/>
      <c r="AM1782" s="17"/>
      <c r="AN1782" s="17"/>
      <c r="AO1782" s="17"/>
      <c r="AP1782" s="17"/>
      <c r="AQ1782" s="17"/>
    </row>
    <row r="1783" spans="24:43" x14ac:dyDescent="0.45">
      <c r="X1783" s="2"/>
      <c r="Y1783" s="2"/>
      <c r="AC1783" s="13"/>
      <c r="AD1783" s="13"/>
      <c r="AE1783" s="13"/>
      <c r="AF1783" s="17"/>
      <c r="AH1783" s="2"/>
      <c r="AL1783" s="17"/>
      <c r="AM1783" s="17"/>
      <c r="AN1783" s="17"/>
      <c r="AO1783" s="17"/>
      <c r="AP1783" s="17"/>
      <c r="AQ1783" s="17"/>
    </row>
    <row r="1784" spans="24:43" x14ac:dyDescent="0.45">
      <c r="X1784" s="2"/>
      <c r="Y1784" s="2"/>
      <c r="AC1784" s="13"/>
      <c r="AD1784" s="13"/>
      <c r="AE1784" s="13"/>
      <c r="AF1784" s="17"/>
      <c r="AH1784" s="2"/>
      <c r="AL1784" s="17"/>
      <c r="AM1784" s="17"/>
      <c r="AN1784" s="17"/>
      <c r="AO1784" s="17"/>
      <c r="AP1784" s="17"/>
      <c r="AQ1784" s="17"/>
    </row>
    <row r="1785" spans="24:43" x14ac:dyDescent="0.45">
      <c r="X1785" s="2"/>
      <c r="Y1785" s="2"/>
      <c r="AC1785" s="13"/>
      <c r="AD1785" s="13"/>
      <c r="AE1785" s="13"/>
      <c r="AF1785" s="17"/>
      <c r="AH1785" s="2"/>
      <c r="AL1785" s="17"/>
      <c r="AM1785" s="17"/>
      <c r="AN1785" s="17"/>
      <c r="AO1785" s="17"/>
      <c r="AP1785" s="17"/>
      <c r="AQ1785" s="17"/>
    </row>
    <row r="1786" spans="24:43" x14ac:dyDescent="0.45">
      <c r="X1786" s="2"/>
      <c r="Y1786" s="2"/>
      <c r="AC1786" s="13"/>
      <c r="AD1786" s="13"/>
      <c r="AE1786" s="13"/>
      <c r="AF1786" s="17"/>
      <c r="AH1786" s="2"/>
      <c r="AL1786" s="17"/>
      <c r="AM1786" s="17"/>
      <c r="AN1786" s="17"/>
      <c r="AO1786" s="17"/>
      <c r="AP1786" s="17"/>
      <c r="AQ1786" s="17"/>
    </row>
    <row r="1787" spans="24:43" x14ac:dyDescent="0.45">
      <c r="X1787" s="2"/>
      <c r="Y1787" s="2"/>
      <c r="AC1787" s="13"/>
      <c r="AD1787" s="13"/>
      <c r="AE1787" s="13"/>
      <c r="AF1787" s="17"/>
      <c r="AH1787" s="2"/>
      <c r="AL1787" s="17"/>
      <c r="AM1787" s="17"/>
      <c r="AN1787" s="17"/>
      <c r="AO1787" s="17"/>
      <c r="AP1787" s="17"/>
      <c r="AQ1787" s="17"/>
    </row>
    <row r="1788" spans="24:43" x14ac:dyDescent="0.45">
      <c r="X1788" s="2"/>
      <c r="Y1788" s="2"/>
      <c r="AC1788" s="13"/>
      <c r="AD1788" s="13"/>
      <c r="AE1788" s="13"/>
      <c r="AF1788" s="17"/>
      <c r="AH1788" s="2"/>
      <c r="AL1788" s="17"/>
      <c r="AM1788" s="17"/>
      <c r="AN1788" s="17"/>
      <c r="AO1788" s="17"/>
      <c r="AP1788" s="17"/>
      <c r="AQ1788" s="17"/>
    </row>
    <row r="1789" spans="24:43" x14ac:dyDescent="0.45">
      <c r="X1789" s="2"/>
      <c r="Y1789" s="2"/>
      <c r="AC1789" s="13"/>
      <c r="AD1789" s="13"/>
      <c r="AE1789" s="13"/>
      <c r="AF1789" s="17"/>
      <c r="AH1789" s="2"/>
      <c r="AL1789" s="17"/>
      <c r="AM1789" s="17"/>
      <c r="AN1789" s="17"/>
      <c r="AO1789" s="17"/>
      <c r="AP1789" s="17"/>
      <c r="AQ1789" s="17"/>
    </row>
    <row r="1790" spans="24:43" x14ac:dyDescent="0.45">
      <c r="X1790" s="2"/>
      <c r="Y1790" s="2"/>
      <c r="AC1790" s="13"/>
      <c r="AD1790" s="13"/>
      <c r="AE1790" s="13"/>
      <c r="AF1790" s="17"/>
      <c r="AH1790" s="2"/>
      <c r="AL1790" s="17"/>
      <c r="AM1790" s="17"/>
      <c r="AN1790" s="17"/>
      <c r="AO1790" s="17"/>
      <c r="AP1790" s="17"/>
      <c r="AQ1790" s="17"/>
    </row>
    <row r="1791" spans="24:43" x14ac:dyDescent="0.45">
      <c r="X1791" s="2"/>
      <c r="Y1791" s="2"/>
      <c r="AC1791" s="13"/>
      <c r="AD1791" s="13"/>
      <c r="AE1791" s="13"/>
      <c r="AF1791" s="17"/>
      <c r="AH1791" s="2"/>
      <c r="AL1791" s="17"/>
      <c r="AM1791" s="17"/>
      <c r="AN1791" s="17"/>
      <c r="AO1791" s="17"/>
      <c r="AP1791" s="17"/>
      <c r="AQ1791" s="17"/>
    </row>
    <row r="1792" spans="24:43" x14ac:dyDescent="0.45">
      <c r="X1792" s="2"/>
      <c r="Y1792" s="2"/>
      <c r="AC1792" s="13"/>
      <c r="AD1792" s="13"/>
      <c r="AE1792" s="13"/>
      <c r="AF1792" s="17"/>
      <c r="AH1792" s="2"/>
      <c r="AL1792" s="17"/>
      <c r="AM1792" s="17"/>
      <c r="AN1792" s="17"/>
      <c r="AO1792" s="17"/>
      <c r="AP1792" s="17"/>
      <c r="AQ1792" s="17"/>
    </row>
    <row r="1793" spans="24:43" x14ac:dyDescent="0.45">
      <c r="X1793" s="2"/>
      <c r="Y1793" s="2"/>
      <c r="AC1793" s="13"/>
      <c r="AD1793" s="13"/>
      <c r="AE1793" s="13"/>
      <c r="AF1793" s="17"/>
      <c r="AH1793" s="2"/>
      <c r="AL1793" s="17"/>
      <c r="AM1793" s="17"/>
      <c r="AN1793" s="17"/>
      <c r="AO1793" s="17"/>
      <c r="AP1793" s="17"/>
      <c r="AQ1793" s="17"/>
    </row>
    <row r="1794" spans="24:43" x14ac:dyDescent="0.45">
      <c r="X1794" s="2"/>
      <c r="Y1794" s="2"/>
      <c r="AC1794" s="13"/>
      <c r="AD1794" s="13"/>
      <c r="AE1794" s="13"/>
      <c r="AF1794" s="17"/>
      <c r="AH1794" s="2"/>
      <c r="AL1794" s="17"/>
      <c r="AM1794" s="17"/>
      <c r="AN1794" s="17"/>
      <c r="AO1794" s="17"/>
      <c r="AP1794" s="17"/>
      <c r="AQ1794" s="17"/>
    </row>
    <row r="1795" spans="24:43" x14ac:dyDescent="0.45">
      <c r="X1795" s="2"/>
      <c r="Y1795" s="2"/>
      <c r="AC1795" s="13"/>
      <c r="AD1795" s="13"/>
      <c r="AE1795" s="13"/>
      <c r="AF1795" s="17"/>
      <c r="AH1795" s="2"/>
      <c r="AL1795" s="17"/>
      <c r="AM1795" s="17"/>
      <c r="AN1795" s="17"/>
      <c r="AO1795" s="17"/>
      <c r="AP1795" s="17"/>
      <c r="AQ1795" s="17"/>
    </row>
    <row r="1796" spans="24:43" x14ac:dyDescent="0.45">
      <c r="X1796" s="2"/>
      <c r="Y1796" s="2"/>
      <c r="AC1796" s="13"/>
      <c r="AD1796" s="13"/>
      <c r="AE1796" s="13"/>
      <c r="AF1796" s="17"/>
      <c r="AH1796" s="2"/>
      <c r="AL1796" s="17"/>
      <c r="AM1796" s="17"/>
      <c r="AN1796" s="17"/>
      <c r="AO1796" s="17"/>
      <c r="AP1796" s="17"/>
      <c r="AQ1796" s="17"/>
    </row>
    <row r="1797" spans="24:43" x14ac:dyDescent="0.45">
      <c r="X1797" s="2"/>
      <c r="Y1797" s="2"/>
      <c r="AC1797" s="13"/>
      <c r="AD1797" s="13"/>
      <c r="AE1797" s="13"/>
      <c r="AF1797" s="17"/>
      <c r="AH1797" s="2"/>
      <c r="AL1797" s="17"/>
      <c r="AM1797" s="17"/>
      <c r="AN1797" s="17"/>
      <c r="AO1797" s="17"/>
      <c r="AP1797" s="17"/>
      <c r="AQ1797" s="17"/>
    </row>
    <row r="1798" spans="24:43" x14ac:dyDescent="0.45">
      <c r="X1798" s="2"/>
      <c r="Y1798" s="2"/>
      <c r="AC1798" s="13"/>
      <c r="AD1798" s="13"/>
      <c r="AE1798" s="13"/>
      <c r="AF1798" s="17"/>
      <c r="AH1798" s="2"/>
      <c r="AL1798" s="17"/>
      <c r="AM1798" s="17"/>
      <c r="AN1798" s="17"/>
      <c r="AO1798" s="17"/>
      <c r="AP1798" s="17"/>
      <c r="AQ1798" s="17"/>
    </row>
    <row r="1799" spans="24:43" x14ac:dyDescent="0.45">
      <c r="X1799" s="2"/>
      <c r="Y1799" s="2"/>
      <c r="AC1799" s="13"/>
      <c r="AD1799" s="13"/>
      <c r="AE1799" s="13"/>
      <c r="AF1799" s="17"/>
      <c r="AH1799" s="2"/>
      <c r="AL1799" s="17"/>
      <c r="AM1799" s="17"/>
      <c r="AN1799" s="17"/>
      <c r="AO1799" s="17"/>
      <c r="AP1799" s="17"/>
      <c r="AQ1799" s="17"/>
    </row>
    <row r="1800" spans="24:43" x14ac:dyDescent="0.45">
      <c r="X1800" s="2"/>
      <c r="Y1800" s="2"/>
      <c r="AC1800" s="13"/>
      <c r="AD1800" s="13"/>
      <c r="AE1800" s="13"/>
      <c r="AF1800" s="17"/>
      <c r="AH1800" s="2"/>
      <c r="AL1800" s="17"/>
      <c r="AM1800" s="17"/>
      <c r="AN1800" s="17"/>
      <c r="AO1800" s="17"/>
      <c r="AP1800" s="17"/>
      <c r="AQ1800" s="17"/>
    </row>
    <row r="1801" spans="24:43" x14ac:dyDescent="0.45">
      <c r="X1801" s="2"/>
      <c r="Y1801" s="2"/>
      <c r="AC1801" s="13"/>
      <c r="AD1801" s="13"/>
      <c r="AE1801" s="13"/>
      <c r="AF1801" s="17"/>
      <c r="AH1801" s="2"/>
      <c r="AL1801" s="17"/>
      <c r="AM1801" s="17"/>
      <c r="AN1801" s="17"/>
      <c r="AO1801" s="17"/>
      <c r="AP1801" s="17"/>
      <c r="AQ1801" s="17"/>
    </row>
    <row r="1802" spans="24:43" x14ac:dyDescent="0.45">
      <c r="X1802" s="2"/>
      <c r="Y1802" s="2"/>
      <c r="AC1802" s="13"/>
      <c r="AD1802" s="13"/>
      <c r="AE1802" s="13"/>
      <c r="AF1802" s="17"/>
      <c r="AH1802" s="2"/>
      <c r="AL1802" s="17"/>
      <c r="AM1802" s="17"/>
      <c r="AN1802" s="17"/>
      <c r="AO1802" s="17"/>
      <c r="AP1802" s="17"/>
      <c r="AQ1802" s="17"/>
    </row>
    <row r="1803" spans="24:43" x14ac:dyDescent="0.45">
      <c r="X1803" s="2"/>
      <c r="Y1803" s="2"/>
      <c r="AC1803" s="13"/>
      <c r="AD1803" s="13"/>
      <c r="AE1803" s="13"/>
      <c r="AF1803" s="17"/>
      <c r="AH1803" s="2"/>
      <c r="AL1803" s="17"/>
      <c r="AM1803" s="17"/>
      <c r="AN1803" s="17"/>
      <c r="AO1803" s="17"/>
      <c r="AP1803" s="17"/>
      <c r="AQ1803" s="17"/>
    </row>
    <row r="1804" spans="24:43" x14ac:dyDescent="0.45">
      <c r="X1804" s="2"/>
      <c r="Y1804" s="2"/>
      <c r="AC1804" s="13"/>
      <c r="AD1804" s="13"/>
      <c r="AE1804" s="13"/>
      <c r="AF1804" s="17"/>
      <c r="AH1804" s="2"/>
      <c r="AL1804" s="17"/>
      <c r="AM1804" s="17"/>
      <c r="AN1804" s="17"/>
      <c r="AO1804" s="17"/>
      <c r="AP1804" s="17"/>
      <c r="AQ1804" s="17"/>
    </row>
    <row r="1805" spans="24:43" x14ac:dyDescent="0.45">
      <c r="X1805" s="2"/>
      <c r="Y1805" s="2"/>
      <c r="AC1805" s="13"/>
      <c r="AD1805" s="13"/>
      <c r="AE1805" s="13"/>
      <c r="AF1805" s="17"/>
      <c r="AH1805" s="2"/>
      <c r="AL1805" s="17"/>
      <c r="AM1805" s="17"/>
      <c r="AN1805" s="17"/>
      <c r="AO1805" s="17"/>
      <c r="AP1805" s="17"/>
      <c r="AQ1805" s="17"/>
    </row>
    <row r="1806" spans="24:43" x14ac:dyDescent="0.45">
      <c r="X1806" s="2"/>
      <c r="Y1806" s="2"/>
      <c r="AC1806" s="13"/>
      <c r="AD1806" s="13"/>
      <c r="AE1806" s="13"/>
      <c r="AF1806" s="17"/>
      <c r="AH1806" s="2"/>
      <c r="AL1806" s="17"/>
      <c r="AM1806" s="17"/>
      <c r="AN1806" s="17"/>
      <c r="AO1806" s="17"/>
      <c r="AP1806" s="17"/>
      <c r="AQ1806" s="17"/>
    </row>
    <row r="1807" spans="24:43" x14ac:dyDescent="0.45">
      <c r="X1807" s="2"/>
      <c r="Y1807" s="2"/>
      <c r="AC1807" s="13"/>
      <c r="AD1807" s="13"/>
      <c r="AE1807" s="13"/>
      <c r="AF1807" s="17"/>
      <c r="AH1807" s="2"/>
      <c r="AL1807" s="17"/>
      <c r="AM1807" s="17"/>
      <c r="AN1807" s="17"/>
      <c r="AO1807" s="17"/>
      <c r="AP1807" s="17"/>
      <c r="AQ1807" s="17"/>
    </row>
    <row r="1808" spans="24:43" x14ac:dyDescent="0.45">
      <c r="X1808" s="2"/>
      <c r="Y1808" s="2"/>
      <c r="AC1808" s="13"/>
      <c r="AD1808" s="13"/>
      <c r="AE1808" s="13"/>
      <c r="AF1808" s="17"/>
      <c r="AH1808" s="2"/>
      <c r="AL1808" s="17"/>
      <c r="AM1808" s="17"/>
      <c r="AN1808" s="17"/>
      <c r="AO1808" s="17"/>
      <c r="AP1808" s="17"/>
      <c r="AQ1808" s="17"/>
    </row>
    <row r="1809" spans="24:43" x14ac:dyDescent="0.45">
      <c r="X1809" s="2"/>
      <c r="Y1809" s="2"/>
      <c r="AC1809" s="13"/>
      <c r="AD1809" s="13"/>
      <c r="AE1809" s="13"/>
      <c r="AF1809" s="17"/>
      <c r="AH1809" s="2"/>
      <c r="AL1809" s="17"/>
      <c r="AM1809" s="17"/>
      <c r="AN1809" s="17"/>
      <c r="AO1809" s="17"/>
      <c r="AP1809" s="17"/>
      <c r="AQ1809" s="17"/>
    </row>
    <row r="1810" spans="24:43" x14ac:dyDescent="0.45">
      <c r="X1810" s="2"/>
      <c r="Y1810" s="2"/>
      <c r="AC1810" s="13"/>
      <c r="AD1810" s="13"/>
      <c r="AE1810" s="13"/>
      <c r="AF1810" s="17"/>
      <c r="AH1810" s="2"/>
      <c r="AL1810" s="17"/>
      <c r="AM1810" s="17"/>
      <c r="AN1810" s="17"/>
      <c r="AO1810" s="17"/>
      <c r="AP1810" s="17"/>
      <c r="AQ1810" s="17"/>
    </row>
    <row r="1811" spans="24:43" x14ac:dyDescent="0.45">
      <c r="X1811" s="2"/>
      <c r="Y1811" s="2"/>
      <c r="AC1811" s="13"/>
      <c r="AD1811" s="13"/>
      <c r="AE1811" s="13"/>
      <c r="AF1811" s="17"/>
      <c r="AH1811" s="2"/>
      <c r="AL1811" s="17"/>
      <c r="AM1811" s="17"/>
      <c r="AN1811" s="17"/>
      <c r="AO1811" s="17"/>
      <c r="AP1811" s="17"/>
      <c r="AQ1811" s="17"/>
    </row>
    <row r="1812" spans="24:43" x14ac:dyDescent="0.45">
      <c r="X1812" s="2"/>
      <c r="Y1812" s="2"/>
      <c r="AC1812" s="13"/>
      <c r="AD1812" s="13"/>
      <c r="AE1812" s="13"/>
      <c r="AF1812" s="17"/>
      <c r="AH1812" s="2"/>
      <c r="AL1812" s="17"/>
      <c r="AM1812" s="17"/>
      <c r="AN1812" s="17"/>
      <c r="AO1812" s="17"/>
      <c r="AP1812" s="17"/>
      <c r="AQ1812" s="17"/>
    </row>
    <row r="1813" spans="24:43" x14ac:dyDescent="0.45">
      <c r="X1813" s="2"/>
      <c r="Y1813" s="2"/>
      <c r="AC1813" s="13"/>
      <c r="AD1813" s="13"/>
      <c r="AE1813" s="13"/>
      <c r="AF1813" s="17"/>
      <c r="AH1813" s="2"/>
      <c r="AL1813" s="17"/>
      <c r="AM1813" s="17"/>
      <c r="AN1813" s="17"/>
      <c r="AO1813" s="17"/>
      <c r="AP1813" s="17"/>
      <c r="AQ1813" s="17"/>
    </row>
    <row r="1814" spans="24:43" x14ac:dyDescent="0.45">
      <c r="X1814" s="2"/>
      <c r="Y1814" s="2"/>
      <c r="AC1814" s="13"/>
      <c r="AD1814" s="13"/>
      <c r="AE1814" s="13"/>
      <c r="AF1814" s="17"/>
      <c r="AH1814" s="2"/>
      <c r="AL1814" s="17"/>
      <c r="AM1814" s="17"/>
      <c r="AN1814" s="17"/>
      <c r="AO1814" s="17"/>
      <c r="AP1814" s="17"/>
      <c r="AQ1814" s="17"/>
    </row>
    <row r="1815" spans="24:43" x14ac:dyDescent="0.45">
      <c r="X1815" s="2"/>
      <c r="Y1815" s="2"/>
      <c r="AC1815" s="13"/>
      <c r="AD1815" s="13"/>
      <c r="AE1815" s="13"/>
      <c r="AF1815" s="17"/>
      <c r="AH1815" s="2"/>
      <c r="AL1815" s="17"/>
      <c r="AM1815" s="17"/>
      <c r="AN1815" s="17"/>
      <c r="AO1815" s="17"/>
      <c r="AP1815" s="17"/>
      <c r="AQ1815" s="17"/>
    </row>
    <row r="1816" spans="24:43" x14ac:dyDescent="0.45">
      <c r="X1816" s="2"/>
      <c r="Y1816" s="2"/>
      <c r="AC1816" s="13"/>
      <c r="AD1816" s="13"/>
      <c r="AE1816" s="13"/>
      <c r="AF1816" s="17"/>
      <c r="AH1816" s="2"/>
      <c r="AL1816" s="17"/>
      <c r="AM1816" s="17"/>
      <c r="AN1816" s="17"/>
      <c r="AO1816" s="17"/>
      <c r="AP1816" s="17"/>
      <c r="AQ1816" s="17"/>
    </row>
    <row r="1817" spans="24:43" x14ac:dyDescent="0.45">
      <c r="X1817" s="2"/>
      <c r="Y1817" s="2"/>
      <c r="AC1817" s="13"/>
      <c r="AD1817" s="13"/>
      <c r="AE1817" s="13"/>
      <c r="AF1817" s="17"/>
      <c r="AH1817" s="2"/>
      <c r="AL1817" s="17"/>
      <c r="AM1817" s="17"/>
      <c r="AN1817" s="17"/>
      <c r="AO1817" s="17"/>
      <c r="AP1817" s="17"/>
      <c r="AQ1817" s="17"/>
    </row>
    <row r="1818" spans="24:43" x14ac:dyDescent="0.45">
      <c r="X1818" s="2"/>
      <c r="Y1818" s="2"/>
      <c r="AC1818" s="13"/>
      <c r="AD1818" s="13"/>
      <c r="AE1818" s="13"/>
      <c r="AF1818" s="17"/>
      <c r="AH1818" s="2"/>
      <c r="AL1818" s="17"/>
      <c r="AM1818" s="17"/>
      <c r="AN1818" s="17"/>
      <c r="AO1818" s="17"/>
      <c r="AP1818" s="17"/>
      <c r="AQ1818" s="17"/>
    </row>
    <row r="1819" spans="24:43" x14ac:dyDescent="0.45">
      <c r="X1819" s="2"/>
      <c r="Y1819" s="2"/>
      <c r="AC1819" s="13"/>
      <c r="AD1819" s="13"/>
      <c r="AE1819" s="13"/>
      <c r="AF1819" s="17"/>
      <c r="AH1819" s="2"/>
      <c r="AL1819" s="17"/>
      <c r="AM1819" s="17"/>
      <c r="AN1819" s="17"/>
      <c r="AO1819" s="17"/>
      <c r="AP1819" s="17"/>
      <c r="AQ1819" s="17"/>
    </row>
    <row r="1820" spans="24:43" x14ac:dyDescent="0.45">
      <c r="X1820" s="2"/>
      <c r="Y1820" s="2"/>
      <c r="AC1820" s="13"/>
      <c r="AD1820" s="13"/>
      <c r="AE1820" s="13"/>
      <c r="AF1820" s="17"/>
      <c r="AH1820" s="2"/>
      <c r="AL1820" s="17"/>
      <c r="AM1820" s="17"/>
      <c r="AN1820" s="17"/>
      <c r="AO1820" s="17"/>
      <c r="AP1820" s="17"/>
      <c r="AQ1820" s="17"/>
    </row>
    <row r="1821" spans="24:43" x14ac:dyDescent="0.45">
      <c r="X1821" s="2"/>
      <c r="Y1821" s="2"/>
      <c r="AC1821" s="13"/>
      <c r="AD1821" s="13"/>
      <c r="AE1821" s="13"/>
      <c r="AF1821" s="17"/>
      <c r="AH1821" s="2"/>
      <c r="AL1821" s="17"/>
      <c r="AM1821" s="17"/>
      <c r="AN1821" s="17"/>
      <c r="AO1821" s="17"/>
      <c r="AP1821" s="17"/>
      <c r="AQ1821" s="17"/>
    </row>
    <row r="1822" spans="24:43" x14ac:dyDescent="0.45">
      <c r="X1822" s="2"/>
      <c r="Y1822" s="2"/>
      <c r="AC1822" s="13"/>
      <c r="AD1822" s="13"/>
      <c r="AE1822" s="13"/>
      <c r="AF1822" s="17"/>
      <c r="AH1822" s="2"/>
      <c r="AL1822" s="17"/>
      <c r="AM1822" s="17"/>
      <c r="AN1822" s="17"/>
      <c r="AO1822" s="17"/>
      <c r="AP1822" s="17"/>
      <c r="AQ1822" s="17"/>
    </row>
    <row r="1823" spans="24:43" x14ac:dyDescent="0.45">
      <c r="X1823" s="2"/>
      <c r="Y1823" s="2"/>
      <c r="AC1823" s="13"/>
      <c r="AD1823" s="13"/>
      <c r="AE1823" s="13"/>
      <c r="AF1823" s="17"/>
      <c r="AH1823" s="2"/>
      <c r="AL1823" s="17"/>
      <c r="AM1823" s="17"/>
      <c r="AN1823" s="17"/>
      <c r="AO1823" s="17"/>
      <c r="AP1823" s="17"/>
      <c r="AQ1823" s="17"/>
    </row>
    <row r="1824" spans="24:43" x14ac:dyDescent="0.45">
      <c r="X1824" s="2"/>
      <c r="Y1824" s="2"/>
      <c r="AC1824" s="13"/>
      <c r="AD1824" s="13"/>
      <c r="AE1824" s="13"/>
      <c r="AF1824" s="17"/>
      <c r="AH1824" s="2"/>
      <c r="AL1824" s="17"/>
      <c r="AM1824" s="17"/>
      <c r="AN1824" s="17"/>
      <c r="AO1824" s="17"/>
      <c r="AP1824" s="17"/>
      <c r="AQ1824" s="17"/>
    </row>
    <row r="1825" spans="24:43" x14ac:dyDescent="0.45">
      <c r="X1825" s="2"/>
      <c r="Y1825" s="2"/>
      <c r="AC1825" s="13"/>
      <c r="AD1825" s="13"/>
      <c r="AE1825" s="13"/>
      <c r="AF1825" s="17"/>
      <c r="AH1825" s="2"/>
      <c r="AL1825" s="17"/>
      <c r="AM1825" s="17"/>
      <c r="AN1825" s="17"/>
      <c r="AO1825" s="17"/>
      <c r="AP1825" s="17"/>
      <c r="AQ1825" s="17"/>
    </row>
    <row r="1826" spans="24:43" x14ac:dyDescent="0.45">
      <c r="X1826" s="2"/>
      <c r="Y1826" s="2"/>
      <c r="AC1826" s="13"/>
      <c r="AD1826" s="13"/>
      <c r="AE1826" s="13"/>
      <c r="AF1826" s="17"/>
      <c r="AH1826" s="2"/>
      <c r="AL1826" s="17"/>
      <c r="AM1826" s="17"/>
      <c r="AN1826" s="17"/>
      <c r="AO1826" s="17"/>
      <c r="AP1826" s="17"/>
      <c r="AQ1826" s="17"/>
    </row>
    <row r="1827" spans="24:43" x14ac:dyDescent="0.45">
      <c r="X1827" s="2"/>
      <c r="Y1827" s="2"/>
      <c r="AC1827" s="13"/>
      <c r="AD1827" s="13"/>
      <c r="AE1827" s="13"/>
      <c r="AF1827" s="17"/>
      <c r="AH1827" s="2"/>
      <c r="AL1827" s="17"/>
      <c r="AM1827" s="17"/>
      <c r="AN1827" s="17"/>
      <c r="AO1827" s="17"/>
      <c r="AP1827" s="17"/>
      <c r="AQ1827" s="17"/>
    </row>
    <row r="1828" spans="24:43" x14ac:dyDescent="0.45">
      <c r="X1828" s="2"/>
      <c r="Y1828" s="2"/>
      <c r="AC1828" s="13"/>
      <c r="AD1828" s="13"/>
      <c r="AE1828" s="13"/>
      <c r="AF1828" s="17"/>
      <c r="AH1828" s="2"/>
      <c r="AL1828" s="17"/>
      <c r="AM1828" s="17"/>
      <c r="AN1828" s="17"/>
      <c r="AO1828" s="17"/>
      <c r="AP1828" s="17"/>
      <c r="AQ1828" s="17"/>
    </row>
    <row r="1829" spans="24:43" x14ac:dyDescent="0.45">
      <c r="X1829" s="2"/>
      <c r="Y1829" s="2"/>
      <c r="AC1829" s="13"/>
      <c r="AD1829" s="13"/>
      <c r="AE1829" s="13"/>
      <c r="AF1829" s="17"/>
      <c r="AH1829" s="2"/>
      <c r="AL1829" s="17"/>
      <c r="AM1829" s="17"/>
      <c r="AN1829" s="17"/>
      <c r="AO1829" s="17"/>
      <c r="AP1829" s="17"/>
      <c r="AQ1829" s="17"/>
    </row>
    <row r="1830" spans="24:43" x14ac:dyDescent="0.45">
      <c r="X1830" s="2"/>
      <c r="Y1830" s="2"/>
      <c r="AC1830" s="13"/>
      <c r="AD1830" s="13"/>
      <c r="AE1830" s="13"/>
      <c r="AF1830" s="17"/>
      <c r="AH1830" s="2"/>
      <c r="AL1830" s="17"/>
      <c r="AM1830" s="17"/>
      <c r="AN1830" s="17"/>
      <c r="AO1830" s="17"/>
      <c r="AP1830" s="17"/>
      <c r="AQ1830" s="17"/>
    </row>
    <row r="1831" spans="24:43" x14ac:dyDescent="0.45">
      <c r="X1831" s="2"/>
      <c r="Y1831" s="2"/>
      <c r="AC1831" s="13"/>
      <c r="AD1831" s="13"/>
      <c r="AE1831" s="13"/>
      <c r="AF1831" s="17"/>
      <c r="AH1831" s="2"/>
      <c r="AL1831" s="17"/>
      <c r="AM1831" s="17"/>
      <c r="AN1831" s="17"/>
      <c r="AO1831" s="17"/>
      <c r="AP1831" s="17"/>
      <c r="AQ1831" s="17"/>
    </row>
    <row r="1832" spans="24:43" x14ac:dyDescent="0.45">
      <c r="X1832" s="2"/>
      <c r="Y1832" s="2"/>
      <c r="AC1832" s="13"/>
      <c r="AD1832" s="13"/>
      <c r="AE1832" s="13"/>
      <c r="AF1832" s="17"/>
      <c r="AH1832" s="2"/>
      <c r="AL1832" s="17"/>
      <c r="AM1832" s="17"/>
      <c r="AN1832" s="17"/>
      <c r="AO1832" s="17"/>
      <c r="AP1832" s="17"/>
      <c r="AQ1832" s="17"/>
    </row>
    <row r="1833" spans="24:43" x14ac:dyDescent="0.45">
      <c r="X1833" s="2"/>
      <c r="Y1833" s="2"/>
      <c r="AC1833" s="13"/>
      <c r="AD1833" s="13"/>
      <c r="AE1833" s="13"/>
      <c r="AF1833" s="17"/>
      <c r="AH1833" s="2"/>
      <c r="AL1833" s="17"/>
      <c r="AM1833" s="17"/>
      <c r="AN1833" s="17"/>
      <c r="AO1833" s="17"/>
      <c r="AP1833" s="17"/>
      <c r="AQ1833" s="17"/>
    </row>
    <row r="1834" spans="24:43" x14ac:dyDescent="0.45">
      <c r="X1834" s="2"/>
      <c r="Y1834" s="2"/>
      <c r="AC1834" s="13"/>
      <c r="AD1834" s="13"/>
      <c r="AE1834" s="13"/>
      <c r="AF1834" s="17"/>
      <c r="AH1834" s="2"/>
      <c r="AL1834" s="17"/>
      <c r="AM1834" s="17"/>
      <c r="AN1834" s="17"/>
      <c r="AO1834" s="17"/>
      <c r="AP1834" s="17"/>
      <c r="AQ1834" s="17"/>
    </row>
    <row r="1835" spans="24:43" x14ac:dyDescent="0.45">
      <c r="X1835" s="2"/>
      <c r="Y1835" s="2"/>
      <c r="AC1835" s="13"/>
      <c r="AD1835" s="13"/>
      <c r="AE1835" s="13"/>
      <c r="AF1835" s="17"/>
      <c r="AH1835" s="2"/>
      <c r="AL1835" s="17"/>
      <c r="AM1835" s="17"/>
      <c r="AN1835" s="17"/>
      <c r="AO1835" s="17"/>
      <c r="AP1835" s="17"/>
      <c r="AQ1835" s="17"/>
    </row>
    <row r="1836" spans="24:43" x14ac:dyDescent="0.45">
      <c r="X1836" s="2"/>
      <c r="Y1836" s="2"/>
      <c r="AC1836" s="13"/>
      <c r="AD1836" s="13"/>
      <c r="AE1836" s="13"/>
      <c r="AF1836" s="17"/>
      <c r="AH1836" s="2"/>
      <c r="AL1836" s="17"/>
      <c r="AM1836" s="17"/>
      <c r="AN1836" s="17"/>
      <c r="AO1836" s="17"/>
      <c r="AP1836" s="17"/>
      <c r="AQ1836" s="17"/>
    </row>
    <row r="1837" spans="24:43" x14ac:dyDescent="0.45">
      <c r="X1837" s="2"/>
      <c r="Y1837" s="2"/>
      <c r="AC1837" s="13"/>
      <c r="AD1837" s="13"/>
      <c r="AE1837" s="13"/>
      <c r="AF1837" s="17"/>
      <c r="AH1837" s="2"/>
      <c r="AL1837" s="17"/>
      <c r="AM1837" s="17"/>
      <c r="AN1837" s="17"/>
      <c r="AO1837" s="17"/>
      <c r="AP1837" s="17"/>
      <c r="AQ1837" s="17"/>
    </row>
    <row r="1838" spans="24:43" x14ac:dyDescent="0.45">
      <c r="X1838" s="2"/>
      <c r="Y1838" s="2"/>
      <c r="AC1838" s="13"/>
      <c r="AD1838" s="13"/>
      <c r="AE1838" s="13"/>
      <c r="AF1838" s="17"/>
      <c r="AH1838" s="2"/>
      <c r="AL1838" s="17"/>
      <c r="AM1838" s="17"/>
      <c r="AN1838" s="17"/>
      <c r="AO1838" s="17"/>
      <c r="AP1838" s="17"/>
      <c r="AQ1838" s="17"/>
    </row>
    <row r="1839" spans="24:43" x14ac:dyDescent="0.45">
      <c r="X1839" s="2"/>
      <c r="Y1839" s="2"/>
      <c r="AC1839" s="13"/>
      <c r="AD1839" s="13"/>
      <c r="AE1839" s="13"/>
      <c r="AF1839" s="17"/>
      <c r="AH1839" s="2"/>
      <c r="AL1839" s="17"/>
      <c r="AM1839" s="17"/>
      <c r="AN1839" s="17"/>
      <c r="AO1839" s="17"/>
      <c r="AP1839" s="17"/>
      <c r="AQ1839" s="17"/>
    </row>
    <row r="1840" spans="24:43" x14ac:dyDescent="0.45">
      <c r="X1840" s="2"/>
      <c r="Y1840" s="2"/>
      <c r="AC1840" s="13"/>
      <c r="AD1840" s="13"/>
      <c r="AE1840" s="13"/>
      <c r="AF1840" s="17"/>
      <c r="AH1840" s="2"/>
      <c r="AL1840" s="17"/>
      <c r="AM1840" s="17"/>
      <c r="AN1840" s="17"/>
      <c r="AO1840" s="17"/>
      <c r="AP1840" s="17"/>
      <c r="AQ1840" s="17"/>
    </row>
    <row r="1841" spans="24:43" x14ac:dyDescent="0.45">
      <c r="X1841" s="2"/>
      <c r="Y1841" s="2"/>
      <c r="AC1841" s="13"/>
      <c r="AD1841" s="13"/>
      <c r="AE1841" s="13"/>
      <c r="AF1841" s="17"/>
      <c r="AH1841" s="2"/>
      <c r="AL1841" s="17"/>
      <c r="AM1841" s="17"/>
      <c r="AN1841" s="17"/>
      <c r="AO1841" s="17"/>
      <c r="AP1841" s="17"/>
      <c r="AQ1841" s="17"/>
    </row>
    <row r="1842" spans="24:43" x14ac:dyDescent="0.45">
      <c r="X1842" s="2"/>
      <c r="Y1842" s="2"/>
      <c r="AC1842" s="13"/>
      <c r="AD1842" s="13"/>
      <c r="AE1842" s="13"/>
      <c r="AF1842" s="17"/>
      <c r="AH1842" s="2"/>
      <c r="AL1842" s="17"/>
      <c r="AM1842" s="17"/>
      <c r="AN1842" s="17"/>
      <c r="AO1842" s="17"/>
      <c r="AP1842" s="17"/>
      <c r="AQ1842" s="17"/>
    </row>
    <row r="1843" spans="24:43" x14ac:dyDescent="0.45">
      <c r="X1843" s="2"/>
      <c r="Y1843" s="2"/>
      <c r="AC1843" s="13"/>
      <c r="AD1843" s="13"/>
      <c r="AE1843" s="13"/>
      <c r="AF1843" s="17"/>
      <c r="AH1843" s="2"/>
      <c r="AL1843" s="17"/>
      <c r="AM1843" s="17"/>
      <c r="AN1843" s="17"/>
      <c r="AO1843" s="17"/>
      <c r="AP1843" s="17"/>
      <c r="AQ1843" s="17"/>
    </row>
    <row r="1844" spans="24:43" x14ac:dyDescent="0.45">
      <c r="X1844" s="2"/>
      <c r="Y1844" s="2"/>
      <c r="AC1844" s="13"/>
      <c r="AD1844" s="13"/>
      <c r="AE1844" s="13"/>
      <c r="AF1844" s="17"/>
      <c r="AH1844" s="2"/>
      <c r="AL1844" s="17"/>
      <c r="AM1844" s="17"/>
      <c r="AN1844" s="17"/>
      <c r="AO1844" s="17"/>
      <c r="AP1844" s="17"/>
      <c r="AQ1844" s="17"/>
    </row>
    <row r="1845" spans="24:43" x14ac:dyDescent="0.45">
      <c r="X1845" s="2"/>
      <c r="Y1845" s="2"/>
      <c r="AC1845" s="13"/>
      <c r="AD1845" s="13"/>
      <c r="AE1845" s="13"/>
      <c r="AF1845" s="17"/>
      <c r="AH1845" s="2"/>
      <c r="AL1845" s="17"/>
      <c r="AM1845" s="17"/>
      <c r="AN1845" s="17"/>
      <c r="AO1845" s="17"/>
      <c r="AP1845" s="17"/>
      <c r="AQ1845" s="17"/>
    </row>
    <row r="1846" spans="24:43" x14ac:dyDescent="0.45">
      <c r="X1846" s="2"/>
      <c r="Y1846" s="2"/>
      <c r="AC1846" s="13"/>
      <c r="AD1846" s="13"/>
      <c r="AE1846" s="13"/>
      <c r="AF1846" s="17"/>
      <c r="AH1846" s="2"/>
      <c r="AL1846" s="17"/>
      <c r="AM1846" s="17"/>
      <c r="AN1846" s="17"/>
      <c r="AO1846" s="17"/>
      <c r="AP1846" s="17"/>
      <c r="AQ1846" s="17"/>
    </row>
    <row r="1847" spans="24:43" x14ac:dyDescent="0.45">
      <c r="X1847" s="2"/>
      <c r="Y1847" s="2"/>
      <c r="AC1847" s="13"/>
      <c r="AD1847" s="13"/>
      <c r="AE1847" s="13"/>
      <c r="AF1847" s="17"/>
      <c r="AH1847" s="2"/>
      <c r="AL1847" s="17"/>
      <c r="AM1847" s="17"/>
      <c r="AN1847" s="17"/>
      <c r="AO1847" s="17"/>
      <c r="AP1847" s="17"/>
      <c r="AQ1847" s="17"/>
    </row>
    <row r="1848" spans="24:43" x14ac:dyDescent="0.45">
      <c r="X1848" s="2"/>
      <c r="Y1848" s="2"/>
      <c r="AC1848" s="13"/>
      <c r="AD1848" s="13"/>
      <c r="AE1848" s="13"/>
      <c r="AF1848" s="17"/>
      <c r="AH1848" s="2"/>
      <c r="AL1848" s="17"/>
      <c r="AM1848" s="17"/>
      <c r="AN1848" s="17"/>
      <c r="AO1848" s="17"/>
      <c r="AP1848" s="17"/>
      <c r="AQ1848" s="17"/>
    </row>
    <row r="1849" spans="24:43" x14ac:dyDescent="0.45">
      <c r="X1849" s="2"/>
      <c r="Y1849" s="2"/>
      <c r="AC1849" s="13"/>
      <c r="AD1849" s="13"/>
      <c r="AE1849" s="13"/>
      <c r="AF1849" s="17"/>
      <c r="AH1849" s="2"/>
      <c r="AL1849" s="17"/>
      <c r="AM1849" s="17"/>
      <c r="AN1849" s="17"/>
      <c r="AO1849" s="17"/>
      <c r="AP1849" s="17"/>
      <c r="AQ1849" s="17"/>
    </row>
    <row r="1850" spans="24:43" x14ac:dyDescent="0.45">
      <c r="X1850" s="2"/>
      <c r="Y1850" s="2"/>
      <c r="AC1850" s="13"/>
      <c r="AD1850" s="13"/>
      <c r="AE1850" s="13"/>
      <c r="AF1850" s="17"/>
      <c r="AH1850" s="2"/>
      <c r="AL1850" s="17"/>
      <c r="AM1850" s="17"/>
      <c r="AN1850" s="17"/>
      <c r="AO1850" s="17"/>
      <c r="AP1850" s="17"/>
      <c r="AQ1850" s="17"/>
    </row>
    <row r="1851" spans="24:43" x14ac:dyDescent="0.45">
      <c r="X1851" s="2"/>
      <c r="Y1851" s="2"/>
      <c r="AC1851" s="13"/>
      <c r="AD1851" s="13"/>
      <c r="AE1851" s="13"/>
      <c r="AF1851" s="17"/>
      <c r="AH1851" s="2"/>
      <c r="AL1851" s="17"/>
      <c r="AM1851" s="17"/>
      <c r="AN1851" s="17"/>
      <c r="AO1851" s="17"/>
      <c r="AP1851" s="17"/>
      <c r="AQ1851" s="17"/>
    </row>
    <row r="1852" spans="24:43" x14ac:dyDescent="0.45">
      <c r="X1852" s="2"/>
      <c r="Y1852" s="2"/>
      <c r="AC1852" s="13"/>
      <c r="AD1852" s="13"/>
      <c r="AE1852" s="13"/>
      <c r="AF1852" s="17"/>
      <c r="AH1852" s="2"/>
      <c r="AL1852" s="17"/>
      <c r="AM1852" s="17"/>
      <c r="AN1852" s="17"/>
      <c r="AO1852" s="17"/>
      <c r="AP1852" s="17"/>
      <c r="AQ1852" s="17"/>
    </row>
    <row r="1853" spans="24:43" x14ac:dyDescent="0.45">
      <c r="X1853" s="2"/>
      <c r="Y1853" s="2"/>
      <c r="AC1853" s="13"/>
      <c r="AD1853" s="13"/>
      <c r="AE1853" s="13"/>
      <c r="AF1853" s="17"/>
      <c r="AH1853" s="2"/>
      <c r="AL1853" s="17"/>
      <c r="AM1853" s="17"/>
      <c r="AN1853" s="17"/>
      <c r="AO1853" s="17"/>
      <c r="AP1853" s="17"/>
      <c r="AQ1853" s="17"/>
    </row>
    <row r="1854" spans="24:43" x14ac:dyDescent="0.45">
      <c r="X1854" s="2"/>
      <c r="Y1854" s="2"/>
      <c r="AC1854" s="13"/>
      <c r="AD1854" s="13"/>
      <c r="AE1854" s="13"/>
      <c r="AF1854" s="17"/>
      <c r="AH1854" s="2"/>
      <c r="AL1854" s="17"/>
      <c r="AM1854" s="17"/>
      <c r="AN1854" s="17"/>
      <c r="AO1854" s="17"/>
      <c r="AP1854" s="17"/>
      <c r="AQ1854" s="17"/>
    </row>
    <row r="1855" spans="24:43" x14ac:dyDescent="0.45">
      <c r="X1855" s="2"/>
      <c r="Y1855" s="2"/>
      <c r="AC1855" s="13"/>
      <c r="AD1855" s="13"/>
      <c r="AE1855" s="13"/>
      <c r="AF1855" s="17"/>
      <c r="AH1855" s="2"/>
      <c r="AL1855" s="17"/>
      <c r="AM1855" s="17"/>
      <c r="AN1855" s="17"/>
      <c r="AO1855" s="17"/>
      <c r="AP1855" s="17"/>
      <c r="AQ1855" s="17"/>
    </row>
    <row r="1856" spans="24:43" x14ac:dyDescent="0.45">
      <c r="X1856" s="2"/>
      <c r="Y1856" s="2"/>
      <c r="AC1856" s="13"/>
      <c r="AD1856" s="13"/>
      <c r="AE1856" s="13"/>
      <c r="AF1856" s="17"/>
      <c r="AH1856" s="2"/>
      <c r="AL1856" s="17"/>
      <c r="AM1856" s="17"/>
      <c r="AN1856" s="17"/>
      <c r="AO1856" s="17"/>
      <c r="AP1856" s="17"/>
      <c r="AQ1856" s="17"/>
    </row>
    <row r="1857" spans="24:43" x14ac:dyDescent="0.45">
      <c r="X1857" s="2"/>
      <c r="Y1857" s="2"/>
      <c r="AC1857" s="13"/>
      <c r="AD1857" s="13"/>
      <c r="AE1857" s="13"/>
      <c r="AF1857" s="17"/>
      <c r="AH1857" s="2"/>
      <c r="AL1857" s="17"/>
      <c r="AM1857" s="17"/>
      <c r="AN1857" s="17"/>
      <c r="AO1857" s="17"/>
      <c r="AP1857" s="17"/>
      <c r="AQ1857" s="17"/>
    </row>
    <row r="1858" spans="24:43" x14ac:dyDescent="0.45">
      <c r="X1858" s="2"/>
      <c r="Y1858" s="2"/>
      <c r="AC1858" s="13"/>
      <c r="AD1858" s="13"/>
      <c r="AE1858" s="13"/>
      <c r="AF1858" s="17"/>
      <c r="AH1858" s="2"/>
      <c r="AL1858" s="17"/>
      <c r="AM1858" s="17"/>
      <c r="AN1858" s="17"/>
      <c r="AO1858" s="17"/>
      <c r="AP1858" s="17"/>
      <c r="AQ1858" s="17"/>
    </row>
    <row r="1859" spans="24:43" x14ac:dyDescent="0.45">
      <c r="X1859" s="2"/>
      <c r="Y1859" s="2"/>
      <c r="AC1859" s="13"/>
      <c r="AD1859" s="13"/>
      <c r="AE1859" s="13"/>
      <c r="AF1859" s="17"/>
      <c r="AH1859" s="2"/>
      <c r="AL1859" s="17"/>
      <c r="AM1859" s="17"/>
      <c r="AN1859" s="17"/>
      <c r="AO1859" s="17"/>
      <c r="AP1859" s="17"/>
      <c r="AQ1859" s="17"/>
    </row>
    <row r="1860" spans="24:43" x14ac:dyDescent="0.45">
      <c r="X1860" s="2"/>
      <c r="Y1860" s="2"/>
      <c r="AC1860" s="13"/>
      <c r="AD1860" s="13"/>
      <c r="AE1860" s="13"/>
      <c r="AF1860" s="17"/>
      <c r="AH1860" s="2"/>
      <c r="AL1860" s="17"/>
      <c r="AM1860" s="17"/>
      <c r="AN1860" s="17"/>
      <c r="AO1860" s="17"/>
      <c r="AP1860" s="17"/>
      <c r="AQ1860" s="17"/>
    </row>
    <row r="1861" spans="24:43" x14ac:dyDescent="0.45">
      <c r="X1861" s="2"/>
      <c r="Y1861" s="2"/>
      <c r="AC1861" s="13"/>
      <c r="AD1861" s="13"/>
      <c r="AE1861" s="13"/>
      <c r="AF1861" s="17"/>
      <c r="AH1861" s="2"/>
      <c r="AL1861" s="17"/>
      <c r="AM1861" s="17"/>
      <c r="AN1861" s="17"/>
      <c r="AO1861" s="17"/>
      <c r="AP1861" s="17"/>
      <c r="AQ1861" s="17"/>
    </row>
    <row r="1862" spans="24:43" x14ac:dyDescent="0.45">
      <c r="X1862" s="2"/>
      <c r="Y1862" s="2"/>
      <c r="AC1862" s="13"/>
      <c r="AD1862" s="13"/>
      <c r="AE1862" s="13"/>
      <c r="AF1862" s="17"/>
      <c r="AH1862" s="2"/>
      <c r="AL1862" s="17"/>
      <c r="AM1862" s="17"/>
      <c r="AN1862" s="17"/>
      <c r="AO1862" s="17"/>
      <c r="AP1862" s="17"/>
      <c r="AQ1862" s="17"/>
    </row>
    <row r="1863" spans="24:43" x14ac:dyDescent="0.45">
      <c r="X1863" s="2"/>
      <c r="Y1863" s="2"/>
      <c r="AC1863" s="13"/>
      <c r="AD1863" s="13"/>
      <c r="AE1863" s="13"/>
      <c r="AF1863" s="17"/>
      <c r="AH1863" s="2"/>
      <c r="AL1863" s="17"/>
      <c r="AM1863" s="17"/>
      <c r="AN1863" s="17"/>
      <c r="AO1863" s="17"/>
      <c r="AP1863" s="17"/>
      <c r="AQ1863" s="17"/>
    </row>
    <row r="1864" spans="24:43" x14ac:dyDescent="0.45">
      <c r="X1864" s="2"/>
      <c r="Y1864" s="2"/>
      <c r="AC1864" s="13"/>
      <c r="AD1864" s="13"/>
      <c r="AE1864" s="13"/>
      <c r="AF1864" s="17"/>
      <c r="AH1864" s="2"/>
      <c r="AL1864" s="17"/>
      <c r="AM1864" s="17"/>
      <c r="AN1864" s="17"/>
      <c r="AO1864" s="17"/>
      <c r="AP1864" s="17"/>
      <c r="AQ1864" s="17"/>
    </row>
    <row r="1865" spans="24:43" x14ac:dyDescent="0.45">
      <c r="X1865" s="2"/>
      <c r="Y1865" s="2"/>
      <c r="AC1865" s="13"/>
      <c r="AD1865" s="13"/>
      <c r="AE1865" s="13"/>
      <c r="AF1865" s="17"/>
      <c r="AH1865" s="2"/>
      <c r="AL1865" s="17"/>
      <c r="AM1865" s="17"/>
      <c r="AN1865" s="17"/>
      <c r="AO1865" s="17"/>
      <c r="AP1865" s="17"/>
      <c r="AQ1865" s="17"/>
    </row>
    <row r="1866" spans="24:43" x14ac:dyDescent="0.45">
      <c r="X1866" s="2"/>
      <c r="Y1866" s="2"/>
      <c r="AC1866" s="13"/>
      <c r="AD1866" s="13"/>
      <c r="AE1866" s="13"/>
      <c r="AF1866" s="17"/>
      <c r="AH1866" s="2"/>
      <c r="AL1866" s="17"/>
      <c r="AM1866" s="17"/>
      <c r="AN1866" s="17"/>
      <c r="AO1866" s="17"/>
      <c r="AP1866" s="17"/>
      <c r="AQ1866" s="17"/>
    </row>
    <row r="1867" spans="24:43" x14ac:dyDescent="0.45">
      <c r="X1867" s="2"/>
      <c r="Y1867" s="2"/>
      <c r="AC1867" s="13"/>
      <c r="AD1867" s="13"/>
      <c r="AE1867" s="13"/>
      <c r="AF1867" s="17"/>
      <c r="AH1867" s="2"/>
      <c r="AL1867" s="17"/>
      <c r="AM1867" s="17"/>
      <c r="AN1867" s="17"/>
      <c r="AO1867" s="17"/>
      <c r="AP1867" s="17"/>
      <c r="AQ1867" s="17"/>
    </row>
    <row r="1868" spans="24:43" x14ac:dyDescent="0.45">
      <c r="X1868" s="2"/>
      <c r="Y1868" s="2"/>
      <c r="AC1868" s="13"/>
      <c r="AD1868" s="13"/>
      <c r="AE1868" s="13"/>
      <c r="AF1868" s="17"/>
      <c r="AH1868" s="2"/>
      <c r="AL1868" s="17"/>
      <c r="AM1868" s="17"/>
      <c r="AN1868" s="17"/>
      <c r="AO1868" s="17"/>
      <c r="AP1868" s="17"/>
      <c r="AQ1868" s="17"/>
    </row>
    <row r="1869" spans="24:43" x14ac:dyDescent="0.45">
      <c r="X1869" s="2"/>
      <c r="Y1869" s="2"/>
      <c r="AC1869" s="13"/>
      <c r="AD1869" s="13"/>
      <c r="AE1869" s="13"/>
      <c r="AF1869" s="17"/>
      <c r="AH1869" s="2"/>
      <c r="AL1869" s="17"/>
      <c r="AM1869" s="17"/>
      <c r="AN1869" s="17"/>
      <c r="AO1869" s="17"/>
      <c r="AP1869" s="17"/>
      <c r="AQ1869" s="17"/>
    </row>
    <row r="1870" spans="24:43" x14ac:dyDescent="0.45">
      <c r="X1870" s="2"/>
      <c r="Y1870" s="2"/>
      <c r="AC1870" s="13"/>
      <c r="AD1870" s="13"/>
      <c r="AE1870" s="13"/>
      <c r="AF1870" s="17"/>
      <c r="AH1870" s="2"/>
      <c r="AL1870" s="17"/>
      <c r="AM1870" s="17"/>
      <c r="AN1870" s="17"/>
      <c r="AO1870" s="17"/>
      <c r="AP1870" s="17"/>
      <c r="AQ1870" s="17"/>
    </row>
    <row r="1871" spans="24:43" x14ac:dyDescent="0.45">
      <c r="X1871" s="2"/>
      <c r="Y1871" s="2"/>
      <c r="AC1871" s="13"/>
      <c r="AD1871" s="13"/>
      <c r="AE1871" s="13"/>
      <c r="AF1871" s="17"/>
      <c r="AH1871" s="2"/>
      <c r="AL1871" s="17"/>
      <c r="AM1871" s="17"/>
      <c r="AN1871" s="17"/>
      <c r="AO1871" s="17"/>
      <c r="AP1871" s="17"/>
      <c r="AQ1871" s="17"/>
    </row>
    <row r="1872" spans="24:43" x14ac:dyDescent="0.45">
      <c r="X1872" s="2"/>
      <c r="Y1872" s="2"/>
      <c r="AC1872" s="13"/>
      <c r="AD1872" s="13"/>
      <c r="AE1872" s="13"/>
      <c r="AF1872" s="17"/>
      <c r="AH1872" s="2"/>
      <c r="AL1872" s="17"/>
      <c r="AM1872" s="17"/>
      <c r="AN1872" s="17"/>
      <c r="AO1872" s="17"/>
      <c r="AP1872" s="17"/>
      <c r="AQ1872" s="17"/>
    </row>
    <row r="1873" spans="24:43" x14ac:dyDescent="0.45">
      <c r="X1873" s="2"/>
      <c r="Y1873" s="2"/>
      <c r="AC1873" s="13"/>
      <c r="AD1873" s="13"/>
      <c r="AE1873" s="13"/>
      <c r="AF1873" s="17"/>
      <c r="AH1873" s="2"/>
      <c r="AL1873" s="17"/>
      <c r="AM1873" s="17"/>
      <c r="AN1873" s="17"/>
      <c r="AO1873" s="17"/>
      <c r="AP1873" s="17"/>
      <c r="AQ1873" s="17"/>
    </row>
    <row r="1874" spans="24:43" x14ac:dyDescent="0.45">
      <c r="X1874" s="2"/>
      <c r="Y1874" s="2"/>
      <c r="AC1874" s="13"/>
      <c r="AD1874" s="13"/>
      <c r="AE1874" s="13"/>
      <c r="AF1874" s="17"/>
      <c r="AH1874" s="2"/>
      <c r="AL1874" s="17"/>
      <c r="AM1874" s="17"/>
      <c r="AN1874" s="17"/>
      <c r="AO1874" s="17"/>
      <c r="AP1874" s="17"/>
      <c r="AQ1874" s="17"/>
    </row>
    <row r="1875" spans="24:43" x14ac:dyDescent="0.45">
      <c r="X1875" s="2"/>
      <c r="Y1875" s="2"/>
      <c r="AC1875" s="13"/>
      <c r="AD1875" s="13"/>
      <c r="AE1875" s="13"/>
      <c r="AF1875" s="17"/>
      <c r="AH1875" s="2"/>
      <c r="AL1875" s="17"/>
      <c r="AM1875" s="17"/>
      <c r="AN1875" s="17"/>
      <c r="AO1875" s="17"/>
      <c r="AP1875" s="17"/>
      <c r="AQ1875" s="17"/>
    </row>
    <row r="1876" spans="24:43" x14ac:dyDescent="0.45">
      <c r="X1876" s="2"/>
      <c r="Y1876" s="2"/>
      <c r="AC1876" s="13"/>
      <c r="AD1876" s="13"/>
      <c r="AE1876" s="13"/>
      <c r="AF1876" s="17"/>
      <c r="AH1876" s="2"/>
      <c r="AL1876" s="17"/>
      <c r="AM1876" s="17"/>
      <c r="AN1876" s="17"/>
      <c r="AO1876" s="17"/>
      <c r="AP1876" s="17"/>
      <c r="AQ1876" s="17"/>
    </row>
    <row r="1877" spans="24:43" x14ac:dyDescent="0.45">
      <c r="X1877" s="2"/>
      <c r="Y1877" s="2"/>
      <c r="AC1877" s="13"/>
      <c r="AD1877" s="13"/>
      <c r="AE1877" s="13"/>
      <c r="AF1877" s="17"/>
      <c r="AH1877" s="2"/>
      <c r="AL1877" s="17"/>
      <c r="AM1877" s="17"/>
      <c r="AN1877" s="17"/>
      <c r="AO1877" s="17"/>
      <c r="AP1877" s="17"/>
      <c r="AQ1877" s="17"/>
    </row>
    <row r="1878" spans="24:43" x14ac:dyDescent="0.45">
      <c r="X1878" s="2"/>
      <c r="Y1878" s="2"/>
      <c r="AC1878" s="13"/>
      <c r="AD1878" s="13"/>
      <c r="AE1878" s="13"/>
      <c r="AF1878" s="17"/>
      <c r="AH1878" s="2"/>
      <c r="AL1878" s="17"/>
      <c r="AM1878" s="17"/>
      <c r="AN1878" s="17"/>
      <c r="AO1878" s="17"/>
      <c r="AP1878" s="17"/>
      <c r="AQ1878" s="17"/>
    </row>
    <row r="1879" spans="24:43" x14ac:dyDescent="0.45">
      <c r="X1879" s="2"/>
      <c r="Y1879" s="2"/>
      <c r="AC1879" s="13"/>
      <c r="AD1879" s="13"/>
      <c r="AE1879" s="13"/>
      <c r="AF1879" s="17"/>
      <c r="AH1879" s="2"/>
      <c r="AL1879" s="17"/>
      <c r="AM1879" s="17"/>
      <c r="AN1879" s="17"/>
      <c r="AO1879" s="17"/>
      <c r="AP1879" s="17"/>
      <c r="AQ1879" s="17"/>
    </row>
    <row r="1880" spans="24:43" x14ac:dyDescent="0.45">
      <c r="X1880" s="2"/>
      <c r="Y1880" s="2"/>
      <c r="AC1880" s="13"/>
      <c r="AD1880" s="13"/>
      <c r="AE1880" s="13"/>
      <c r="AF1880" s="17"/>
      <c r="AH1880" s="2"/>
      <c r="AL1880" s="17"/>
      <c r="AM1880" s="17"/>
      <c r="AN1880" s="17"/>
      <c r="AO1880" s="17"/>
      <c r="AP1880" s="17"/>
      <c r="AQ1880" s="17"/>
    </row>
    <row r="1881" spans="24:43" x14ac:dyDescent="0.45">
      <c r="X1881" s="2"/>
      <c r="Y1881" s="2"/>
      <c r="AC1881" s="13"/>
      <c r="AD1881" s="13"/>
      <c r="AE1881" s="13"/>
      <c r="AF1881" s="17"/>
      <c r="AH1881" s="2"/>
      <c r="AL1881" s="17"/>
      <c r="AM1881" s="17"/>
      <c r="AN1881" s="17"/>
      <c r="AO1881" s="17"/>
      <c r="AP1881" s="17"/>
      <c r="AQ1881" s="17"/>
    </row>
    <row r="1882" spans="24:43" x14ac:dyDescent="0.45">
      <c r="X1882" s="2"/>
      <c r="Y1882" s="2"/>
      <c r="AC1882" s="13"/>
      <c r="AD1882" s="13"/>
      <c r="AE1882" s="13"/>
      <c r="AF1882" s="17"/>
      <c r="AH1882" s="2"/>
      <c r="AL1882" s="17"/>
      <c r="AM1882" s="17"/>
      <c r="AN1882" s="17"/>
      <c r="AO1882" s="17"/>
      <c r="AP1882" s="17"/>
      <c r="AQ1882" s="17"/>
    </row>
    <row r="1883" spans="24:43" x14ac:dyDescent="0.45">
      <c r="X1883" s="2"/>
      <c r="Y1883" s="2"/>
      <c r="AC1883" s="13"/>
      <c r="AD1883" s="13"/>
      <c r="AE1883" s="13"/>
      <c r="AF1883" s="17"/>
      <c r="AH1883" s="2"/>
      <c r="AL1883" s="17"/>
      <c r="AM1883" s="17"/>
      <c r="AN1883" s="17"/>
      <c r="AO1883" s="17"/>
      <c r="AP1883" s="17"/>
      <c r="AQ1883" s="17"/>
    </row>
    <row r="1884" spans="24:43" x14ac:dyDescent="0.45">
      <c r="X1884" s="2"/>
      <c r="Y1884" s="2"/>
      <c r="AC1884" s="13"/>
      <c r="AD1884" s="13"/>
      <c r="AE1884" s="13"/>
      <c r="AF1884" s="17"/>
      <c r="AH1884" s="2"/>
      <c r="AL1884" s="17"/>
      <c r="AM1884" s="17"/>
      <c r="AN1884" s="17"/>
      <c r="AO1884" s="17"/>
      <c r="AP1884" s="17"/>
      <c r="AQ1884" s="17"/>
    </row>
    <row r="1885" spans="24:43" x14ac:dyDescent="0.45">
      <c r="X1885" s="2"/>
      <c r="Y1885" s="2"/>
      <c r="AC1885" s="13"/>
      <c r="AD1885" s="13"/>
      <c r="AE1885" s="13"/>
      <c r="AF1885" s="17"/>
      <c r="AH1885" s="2"/>
      <c r="AL1885" s="17"/>
      <c r="AM1885" s="17"/>
      <c r="AN1885" s="17"/>
      <c r="AO1885" s="17"/>
      <c r="AP1885" s="17"/>
      <c r="AQ1885" s="17"/>
    </row>
    <row r="1886" spans="24:43" x14ac:dyDescent="0.45">
      <c r="X1886" s="2"/>
      <c r="Y1886" s="2"/>
      <c r="AC1886" s="13"/>
      <c r="AD1886" s="13"/>
      <c r="AE1886" s="13"/>
      <c r="AF1886" s="17"/>
      <c r="AH1886" s="2"/>
      <c r="AL1886" s="17"/>
      <c r="AM1886" s="17"/>
      <c r="AN1886" s="17"/>
      <c r="AO1886" s="17"/>
      <c r="AP1886" s="17"/>
      <c r="AQ1886" s="17"/>
    </row>
    <row r="1887" spans="24:43" x14ac:dyDescent="0.45">
      <c r="X1887" s="2"/>
      <c r="Y1887" s="2"/>
      <c r="AC1887" s="13"/>
      <c r="AD1887" s="13"/>
      <c r="AE1887" s="13"/>
      <c r="AF1887" s="17"/>
      <c r="AH1887" s="2"/>
      <c r="AL1887" s="17"/>
      <c r="AM1887" s="17"/>
      <c r="AN1887" s="17"/>
      <c r="AO1887" s="17"/>
      <c r="AP1887" s="17"/>
      <c r="AQ1887" s="17"/>
    </row>
    <row r="1888" spans="24:43" x14ac:dyDescent="0.45">
      <c r="X1888" s="2"/>
      <c r="Y1888" s="2"/>
      <c r="AC1888" s="13"/>
      <c r="AD1888" s="13"/>
      <c r="AE1888" s="13"/>
      <c r="AF1888" s="17"/>
      <c r="AH1888" s="2"/>
      <c r="AL1888" s="17"/>
      <c r="AM1888" s="17"/>
      <c r="AN1888" s="17"/>
      <c r="AO1888" s="17"/>
      <c r="AP1888" s="17"/>
      <c r="AQ1888" s="17"/>
    </row>
    <row r="1889" spans="24:43" x14ac:dyDescent="0.45">
      <c r="X1889" s="2"/>
      <c r="Y1889" s="2"/>
      <c r="AC1889" s="13"/>
      <c r="AD1889" s="13"/>
      <c r="AE1889" s="13"/>
      <c r="AF1889" s="17"/>
      <c r="AH1889" s="2"/>
      <c r="AL1889" s="17"/>
      <c r="AM1889" s="17"/>
      <c r="AN1889" s="17"/>
      <c r="AO1889" s="17"/>
      <c r="AP1889" s="17"/>
      <c r="AQ1889" s="17"/>
    </row>
    <row r="1890" spans="24:43" x14ac:dyDescent="0.45">
      <c r="X1890" s="2"/>
      <c r="Y1890" s="2"/>
      <c r="AC1890" s="13"/>
      <c r="AD1890" s="13"/>
      <c r="AE1890" s="13"/>
      <c r="AF1890" s="17"/>
      <c r="AH1890" s="2"/>
      <c r="AL1890" s="17"/>
      <c r="AM1890" s="17"/>
      <c r="AN1890" s="17"/>
      <c r="AO1890" s="17"/>
      <c r="AP1890" s="17"/>
      <c r="AQ1890" s="17"/>
    </row>
    <row r="1891" spans="24:43" x14ac:dyDescent="0.45">
      <c r="X1891" s="2"/>
      <c r="Y1891" s="2"/>
      <c r="AC1891" s="13"/>
      <c r="AD1891" s="13"/>
      <c r="AE1891" s="13"/>
      <c r="AF1891" s="17"/>
      <c r="AH1891" s="2"/>
      <c r="AL1891" s="17"/>
      <c r="AM1891" s="17"/>
      <c r="AN1891" s="17"/>
      <c r="AO1891" s="17"/>
      <c r="AP1891" s="17"/>
      <c r="AQ1891" s="17"/>
    </row>
    <row r="1892" spans="24:43" x14ac:dyDescent="0.45">
      <c r="X1892" s="2"/>
      <c r="Y1892" s="2"/>
      <c r="AC1892" s="13"/>
      <c r="AD1892" s="13"/>
      <c r="AE1892" s="13"/>
      <c r="AF1892" s="17"/>
      <c r="AH1892" s="2"/>
      <c r="AL1892" s="17"/>
      <c r="AM1892" s="17"/>
      <c r="AN1892" s="17"/>
      <c r="AO1892" s="17"/>
      <c r="AP1892" s="17"/>
      <c r="AQ1892" s="17"/>
    </row>
    <row r="1893" spans="24:43" x14ac:dyDescent="0.45">
      <c r="X1893" s="2"/>
      <c r="Y1893" s="2"/>
      <c r="AC1893" s="13"/>
      <c r="AD1893" s="13"/>
      <c r="AE1893" s="13"/>
      <c r="AF1893" s="17"/>
      <c r="AH1893" s="2"/>
      <c r="AL1893" s="17"/>
      <c r="AM1893" s="17"/>
      <c r="AN1893" s="17"/>
      <c r="AO1893" s="17"/>
      <c r="AP1893" s="17"/>
      <c r="AQ1893" s="17"/>
    </row>
    <row r="1894" spans="24:43" x14ac:dyDescent="0.45">
      <c r="X1894" s="2"/>
      <c r="Y1894" s="2"/>
      <c r="AC1894" s="13"/>
      <c r="AD1894" s="13"/>
      <c r="AE1894" s="13"/>
      <c r="AF1894" s="17"/>
      <c r="AH1894" s="2"/>
      <c r="AL1894" s="17"/>
      <c r="AM1894" s="17"/>
      <c r="AN1894" s="17"/>
      <c r="AO1894" s="17"/>
      <c r="AP1894" s="17"/>
      <c r="AQ1894" s="17"/>
    </row>
    <row r="1895" spans="24:43" x14ac:dyDescent="0.45">
      <c r="X1895" s="2"/>
      <c r="Y1895" s="2"/>
      <c r="AC1895" s="13"/>
      <c r="AD1895" s="13"/>
      <c r="AE1895" s="13"/>
      <c r="AF1895" s="17"/>
      <c r="AH1895" s="2"/>
      <c r="AL1895" s="17"/>
      <c r="AM1895" s="17"/>
      <c r="AN1895" s="17"/>
      <c r="AO1895" s="17"/>
      <c r="AP1895" s="17"/>
      <c r="AQ1895" s="17"/>
    </row>
    <row r="1896" spans="24:43" x14ac:dyDescent="0.45">
      <c r="X1896" s="2"/>
      <c r="Y1896" s="2"/>
      <c r="AC1896" s="13"/>
      <c r="AD1896" s="13"/>
      <c r="AE1896" s="13"/>
      <c r="AF1896" s="17"/>
      <c r="AH1896" s="2"/>
      <c r="AL1896" s="17"/>
      <c r="AM1896" s="17"/>
      <c r="AN1896" s="17"/>
      <c r="AO1896" s="17"/>
      <c r="AP1896" s="17"/>
      <c r="AQ1896" s="17"/>
    </row>
    <row r="1897" spans="24:43" x14ac:dyDescent="0.45">
      <c r="X1897" s="2"/>
      <c r="Y1897" s="2"/>
      <c r="AC1897" s="13"/>
      <c r="AD1897" s="13"/>
      <c r="AE1897" s="13"/>
      <c r="AF1897" s="17"/>
      <c r="AH1897" s="2"/>
      <c r="AL1897" s="17"/>
      <c r="AM1897" s="17"/>
      <c r="AN1897" s="17"/>
      <c r="AO1897" s="17"/>
      <c r="AP1897" s="17"/>
      <c r="AQ1897" s="17"/>
    </row>
    <row r="1898" spans="24:43" x14ac:dyDescent="0.45">
      <c r="X1898" s="2"/>
      <c r="Y1898" s="2"/>
      <c r="AC1898" s="13"/>
      <c r="AD1898" s="13"/>
      <c r="AE1898" s="13"/>
      <c r="AF1898" s="17"/>
      <c r="AH1898" s="2"/>
      <c r="AL1898" s="17"/>
      <c r="AM1898" s="17"/>
      <c r="AN1898" s="17"/>
      <c r="AO1898" s="17"/>
      <c r="AP1898" s="17"/>
      <c r="AQ1898" s="17"/>
    </row>
    <row r="1899" spans="24:43" x14ac:dyDescent="0.45">
      <c r="X1899" s="2"/>
      <c r="Y1899" s="2"/>
      <c r="AC1899" s="13"/>
      <c r="AD1899" s="13"/>
      <c r="AE1899" s="13"/>
      <c r="AF1899" s="17"/>
      <c r="AH1899" s="2"/>
      <c r="AL1899" s="17"/>
      <c r="AM1899" s="17"/>
      <c r="AN1899" s="17"/>
      <c r="AO1899" s="17"/>
      <c r="AP1899" s="17"/>
      <c r="AQ1899" s="17"/>
    </row>
    <row r="1900" spans="24:43" x14ac:dyDescent="0.45">
      <c r="X1900" s="2"/>
      <c r="Y1900" s="2"/>
      <c r="AC1900" s="13"/>
      <c r="AD1900" s="13"/>
      <c r="AE1900" s="13"/>
      <c r="AF1900" s="17"/>
      <c r="AH1900" s="2"/>
      <c r="AL1900" s="17"/>
      <c r="AM1900" s="17"/>
      <c r="AN1900" s="17"/>
      <c r="AO1900" s="17"/>
      <c r="AP1900" s="17"/>
      <c r="AQ1900" s="17"/>
    </row>
    <row r="1901" spans="24:43" x14ac:dyDescent="0.45">
      <c r="X1901" s="2"/>
      <c r="Y1901" s="2"/>
      <c r="AC1901" s="13"/>
      <c r="AD1901" s="13"/>
      <c r="AE1901" s="13"/>
      <c r="AF1901" s="17"/>
      <c r="AH1901" s="2"/>
      <c r="AL1901" s="17"/>
      <c r="AM1901" s="17"/>
      <c r="AN1901" s="17"/>
      <c r="AO1901" s="17"/>
      <c r="AP1901" s="17"/>
      <c r="AQ1901" s="17"/>
    </row>
    <row r="1902" spans="24:43" x14ac:dyDescent="0.45">
      <c r="X1902" s="2"/>
      <c r="Y1902" s="2"/>
      <c r="AC1902" s="13"/>
      <c r="AD1902" s="13"/>
      <c r="AE1902" s="13"/>
      <c r="AF1902" s="17"/>
      <c r="AH1902" s="2"/>
      <c r="AL1902" s="17"/>
      <c r="AM1902" s="17"/>
      <c r="AN1902" s="17"/>
      <c r="AO1902" s="17"/>
      <c r="AP1902" s="17"/>
      <c r="AQ1902" s="17"/>
    </row>
    <row r="1903" spans="24:43" x14ac:dyDescent="0.45">
      <c r="X1903" s="2"/>
      <c r="Y1903" s="2"/>
      <c r="AC1903" s="13"/>
      <c r="AD1903" s="13"/>
      <c r="AE1903" s="13"/>
      <c r="AF1903" s="17"/>
      <c r="AH1903" s="2"/>
      <c r="AL1903" s="17"/>
      <c r="AM1903" s="17"/>
      <c r="AN1903" s="17"/>
      <c r="AO1903" s="17"/>
      <c r="AP1903" s="17"/>
      <c r="AQ1903" s="17"/>
    </row>
    <row r="1904" spans="24:43" x14ac:dyDescent="0.45">
      <c r="X1904" s="2"/>
      <c r="Y1904" s="2"/>
      <c r="AC1904" s="13"/>
      <c r="AD1904" s="13"/>
      <c r="AE1904" s="13"/>
      <c r="AF1904" s="17"/>
      <c r="AH1904" s="2"/>
      <c r="AL1904" s="17"/>
      <c r="AM1904" s="17"/>
      <c r="AN1904" s="17"/>
      <c r="AO1904" s="17"/>
      <c r="AP1904" s="17"/>
      <c r="AQ1904" s="17"/>
    </row>
    <row r="1905" spans="24:43" x14ac:dyDescent="0.45">
      <c r="X1905" s="2"/>
      <c r="Y1905" s="2"/>
      <c r="AC1905" s="13"/>
      <c r="AD1905" s="13"/>
      <c r="AE1905" s="13"/>
      <c r="AF1905" s="17"/>
      <c r="AH1905" s="2"/>
      <c r="AL1905" s="17"/>
      <c r="AM1905" s="17"/>
      <c r="AN1905" s="17"/>
      <c r="AO1905" s="17"/>
      <c r="AP1905" s="17"/>
      <c r="AQ1905" s="17"/>
    </row>
    <row r="1906" spans="24:43" x14ac:dyDescent="0.45">
      <c r="X1906" s="2"/>
      <c r="Y1906" s="2"/>
      <c r="AC1906" s="13"/>
      <c r="AD1906" s="13"/>
      <c r="AE1906" s="13"/>
      <c r="AF1906" s="17"/>
      <c r="AH1906" s="2"/>
      <c r="AL1906" s="17"/>
      <c r="AM1906" s="17"/>
      <c r="AN1906" s="17"/>
      <c r="AO1906" s="17"/>
      <c r="AP1906" s="17"/>
      <c r="AQ1906" s="17"/>
    </row>
    <row r="1907" spans="24:43" x14ac:dyDescent="0.45">
      <c r="X1907" s="2"/>
      <c r="Y1907" s="2"/>
      <c r="AC1907" s="13"/>
      <c r="AD1907" s="13"/>
      <c r="AE1907" s="13"/>
      <c r="AF1907" s="17"/>
      <c r="AH1907" s="2"/>
      <c r="AL1907" s="17"/>
      <c r="AM1907" s="17"/>
      <c r="AN1907" s="17"/>
      <c r="AO1907" s="17"/>
      <c r="AP1907" s="17"/>
      <c r="AQ1907" s="17"/>
    </row>
    <row r="1908" spans="24:43" x14ac:dyDescent="0.45">
      <c r="X1908" s="2"/>
      <c r="Y1908" s="2"/>
      <c r="AC1908" s="13"/>
      <c r="AD1908" s="13"/>
      <c r="AE1908" s="13"/>
      <c r="AF1908" s="17"/>
      <c r="AH1908" s="2"/>
      <c r="AL1908" s="17"/>
      <c r="AM1908" s="17"/>
      <c r="AN1908" s="17"/>
      <c r="AO1908" s="17"/>
      <c r="AP1908" s="17"/>
      <c r="AQ1908" s="17"/>
    </row>
    <row r="1909" spans="24:43" x14ac:dyDescent="0.45">
      <c r="X1909" s="2"/>
      <c r="Y1909" s="2"/>
      <c r="AC1909" s="13"/>
      <c r="AD1909" s="13"/>
      <c r="AE1909" s="13"/>
      <c r="AF1909" s="17"/>
      <c r="AH1909" s="2"/>
      <c r="AL1909" s="17"/>
      <c r="AM1909" s="17"/>
      <c r="AN1909" s="17"/>
      <c r="AO1909" s="17"/>
      <c r="AP1909" s="17"/>
      <c r="AQ1909" s="17"/>
    </row>
    <row r="1910" spans="24:43" x14ac:dyDescent="0.45">
      <c r="X1910" s="2"/>
      <c r="Y1910" s="2"/>
      <c r="AC1910" s="13"/>
      <c r="AD1910" s="13"/>
      <c r="AE1910" s="13"/>
      <c r="AF1910" s="17"/>
      <c r="AH1910" s="2"/>
      <c r="AL1910" s="17"/>
      <c r="AM1910" s="17"/>
      <c r="AN1910" s="17"/>
      <c r="AO1910" s="17"/>
      <c r="AP1910" s="17"/>
      <c r="AQ1910" s="17"/>
    </row>
    <row r="1911" spans="24:43" x14ac:dyDescent="0.45">
      <c r="X1911" s="2"/>
      <c r="Y1911" s="2"/>
      <c r="AC1911" s="13"/>
      <c r="AD1911" s="13"/>
      <c r="AE1911" s="13"/>
      <c r="AF1911" s="17"/>
      <c r="AH1911" s="2"/>
      <c r="AL1911" s="17"/>
      <c r="AM1911" s="17"/>
      <c r="AN1911" s="17"/>
      <c r="AO1911" s="17"/>
      <c r="AP1911" s="17"/>
      <c r="AQ1911" s="17"/>
    </row>
    <row r="1912" spans="24:43" x14ac:dyDescent="0.45">
      <c r="X1912" s="2"/>
      <c r="Y1912" s="2"/>
      <c r="AC1912" s="13"/>
      <c r="AD1912" s="13"/>
      <c r="AE1912" s="13"/>
      <c r="AF1912" s="17"/>
      <c r="AH1912" s="2"/>
      <c r="AL1912" s="17"/>
      <c r="AM1912" s="17"/>
      <c r="AN1912" s="17"/>
      <c r="AO1912" s="17"/>
      <c r="AP1912" s="17"/>
      <c r="AQ1912" s="17"/>
    </row>
    <row r="1913" spans="24:43" x14ac:dyDescent="0.45">
      <c r="X1913" s="2"/>
      <c r="Y1913" s="2"/>
      <c r="AC1913" s="13"/>
      <c r="AD1913" s="13"/>
      <c r="AE1913" s="13"/>
      <c r="AF1913" s="17"/>
      <c r="AH1913" s="2"/>
      <c r="AL1913" s="17"/>
      <c r="AM1913" s="17"/>
      <c r="AN1913" s="17"/>
      <c r="AO1913" s="17"/>
      <c r="AP1913" s="17"/>
      <c r="AQ1913" s="17"/>
    </row>
    <row r="1914" spans="24:43" x14ac:dyDescent="0.45">
      <c r="X1914" s="2"/>
      <c r="Y1914" s="2"/>
      <c r="AC1914" s="13"/>
      <c r="AD1914" s="13"/>
      <c r="AE1914" s="13"/>
      <c r="AF1914" s="17"/>
      <c r="AH1914" s="2"/>
      <c r="AL1914" s="17"/>
      <c r="AM1914" s="17"/>
      <c r="AN1914" s="17"/>
      <c r="AO1914" s="17"/>
      <c r="AP1914" s="17"/>
      <c r="AQ1914" s="17"/>
    </row>
    <row r="1915" spans="24:43" x14ac:dyDescent="0.45">
      <c r="X1915" s="2"/>
      <c r="Y1915" s="2"/>
      <c r="AC1915" s="13"/>
      <c r="AD1915" s="13"/>
      <c r="AE1915" s="13"/>
      <c r="AF1915" s="17"/>
      <c r="AH1915" s="2"/>
      <c r="AL1915" s="17"/>
      <c r="AM1915" s="17"/>
      <c r="AN1915" s="17"/>
      <c r="AO1915" s="17"/>
      <c r="AP1915" s="17"/>
      <c r="AQ1915" s="17"/>
    </row>
    <row r="1916" spans="24:43" x14ac:dyDescent="0.45">
      <c r="X1916" s="2"/>
      <c r="Y1916" s="2"/>
      <c r="AC1916" s="13"/>
      <c r="AD1916" s="13"/>
      <c r="AE1916" s="13"/>
      <c r="AF1916" s="17"/>
      <c r="AH1916" s="2"/>
      <c r="AL1916" s="17"/>
      <c r="AM1916" s="17"/>
      <c r="AN1916" s="17"/>
      <c r="AO1916" s="17"/>
      <c r="AP1916" s="17"/>
      <c r="AQ1916" s="17"/>
    </row>
    <row r="1917" spans="24:43" x14ac:dyDescent="0.45">
      <c r="X1917" s="2"/>
      <c r="Y1917" s="2"/>
      <c r="AC1917" s="13"/>
      <c r="AD1917" s="13"/>
      <c r="AE1917" s="13"/>
      <c r="AF1917" s="17"/>
      <c r="AH1917" s="2"/>
      <c r="AL1917" s="17"/>
      <c r="AM1917" s="17"/>
      <c r="AN1917" s="17"/>
      <c r="AO1917" s="17"/>
      <c r="AP1917" s="17"/>
      <c r="AQ1917" s="17"/>
    </row>
    <row r="1918" spans="24:43" x14ac:dyDescent="0.45">
      <c r="X1918" s="2"/>
      <c r="Y1918" s="2"/>
      <c r="AC1918" s="13"/>
      <c r="AD1918" s="13"/>
      <c r="AE1918" s="13"/>
      <c r="AF1918" s="17"/>
      <c r="AH1918" s="2"/>
      <c r="AL1918" s="17"/>
      <c r="AM1918" s="17"/>
      <c r="AN1918" s="17"/>
      <c r="AO1918" s="17"/>
      <c r="AP1918" s="17"/>
      <c r="AQ1918" s="17"/>
    </row>
    <row r="1919" spans="24:43" x14ac:dyDescent="0.45">
      <c r="X1919" s="2"/>
      <c r="Y1919" s="2"/>
      <c r="AC1919" s="13"/>
      <c r="AD1919" s="13"/>
      <c r="AE1919" s="13"/>
      <c r="AF1919" s="17"/>
      <c r="AH1919" s="2"/>
      <c r="AL1919" s="17"/>
      <c r="AM1919" s="17"/>
      <c r="AN1919" s="17"/>
      <c r="AO1919" s="17"/>
      <c r="AP1919" s="17"/>
      <c r="AQ1919" s="17"/>
    </row>
    <row r="1920" spans="24:43" x14ac:dyDescent="0.45">
      <c r="X1920" s="2"/>
      <c r="Y1920" s="2"/>
      <c r="AC1920" s="13"/>
      <c r="AD1920" s="13"/>
      <c r="AE1920" s="13"/>
      <c r="AF1920" s="17"/>
      <c r="AH1920" s="2"/>
      <c r="AL1920" s="17"/>
      <c r="AM1920" s="17"/>
      <c r="AN1920" s="17"/>
      <c r="AO1920" s="17"/>
      <c r="AP1920" s="17"/>
      <c r="AQ1920" s="17"/>
    </row>
    <row r="1921" spans="24:43" x14ac:dyDescent="0.45">
      <c r="X1921" s="2"/>
      <c r="Y1921" s="2"/>
      <c r="AC1921" s="13"/>
      <c r="AD1921" s="13"/>
      <c r="AE1921" s="13"/>
      <c r="AF1921" s="17"/>
      <c r="AH1921" s="2"/>
      <c r="AL1921" s="17"/>
      <c r="AM1921" s="17"/>
      <c r="AN1921" s="17"/>
      <c r="AO1921" s="17"/>
      <c r="AP1921" s="17"/>
      <c r="AQ1921" s="17"/>
    </row>
    <row r="1922" spans="24:43" x14ac:dyDescent="0.45">
      <c r="X1922" s="2"/>
      <c r="Y1922" s="2"/>
      <c r="AC1922" s="13"/>
      <c r="AD1922" s="13"/>
      <c r="AE1922" s="13"/>
      <c r="AF1922" s="17"/>
      <c r="AH1922" s="2"/>
      <c r="AL1922" s="17"/>
      <c r="AM1922" s="17"/>
      <c r="AN1922" s="17"/>
      <c r="AO1922" s="17"/>
      <c r="AP1922" s="17"/>
      <c r="AQ1922" s="17"/>
    </row>
    <row r="1923" spans="24:43" x14ac:dyDescent="0.45">
      <c r="X1923" s="2"/>
      <c r="Y1923" s="2"/>
      <c r="AC1923" s="13"/>
      <c r="AD1923" s="13"/>
      <c r="AE1923" s="13"/>
      <c r="AF1923" s="17"/>
      <c r="AH1923" s="2"/>
      <c r="AL1923" s="17"/>
      <c r="AM1923" s="17"/>
      <c r="AN1923" s="17"/>
      <c r="AO1923" s="17"/>
      <c r="AP1923" s="17"/>
      <c r="AQ1923" s="17"/>
    </row>
    <row r="1924" spans="24:43" x14ac:dyDescent="0.45">
      <c r="X1924" s="2"/>
      <c r="Y1924" s="2"/>
      <c r="AC1924" s="13"/>
      <c r="AD1924" s="13"/>
      <c r="AE1924" s="13"/>
      <c r="AF1924" s="17"/>
      <c r="AH1924" s="2"/>
      <c r="AL1924" s="17"/>
      <c r="AM1924" s="17"/>
      <c r="AN1924" s="17"/>
      <c r="AO1924" s="17"/>
      <c r="AP1924" s="17"/>
      <c r="AQ1924" s="17"/>
    </row>
    <row r="1925" spans="24:43" x14ac:dyDescent="0.45">
      <c r="X1925" s="2"/>
      <c r="Y1925" s="2"/>
      <c r="AC1925" s="13"/>
      <c r="AD1925" s="13"/>
      <c r="AE1925" s="13"/>
      <c r="AF1925" s="17"/>
      <c r="AH1925" s="2"/>
      <c r="AL1925" s="17"/>
      <c r="AM1925" s="17"/>
      <c r="AN1925" s="17"/>
      <c r="AO1925" s="17"/>
      <c r="AP1925" s="17"/>
      <c r="AQ1925" s="17"/>
    </row>
    <row r="1926" spans="24:43" x14ac:dyDescent="0.45">
      <c r="X1926" s="2"/>
      <c r="Y1926" s="2"/>
      <c r="AC1926" s="13"/>
      <c r="AD1926" s="13"/>
      <c r="AE1926" s="13"/>
      <c r="AF1926" s="17"/>
      <c r="AH1926" s="2"/>
      <c r="AL1926" s="17"/>
      <c r="AM1926" s="17"/>
      <c r="AN1926" s="17"/>
      <c r="AO1926" s="17"/>
      <c r="AP1926" s="17"/>
      <c r="AQ1926" s="17"/>
    </row>
    <row r="1927" spans="24:43" x14ac:dyDescent="0.45">
      <c r="X1927" s="2"/>
      <c r="Y1927" s="2"/>
      <c r="AC1927" s="13"/>
      <c r="AD1927" s="13"/>
      <c r="AE1927" s="13"/>
      <c r="AF1927" s="17"/>
      <c r="AH1927" s="2"/>
      <c r="AL1927" s="17"/>
      <c r="AM1927" s="17"/>
      <c r="AN1927" s="17"/>
      <c r="AO1927" s="17"/>
      <c r="AP1927" s="17"/>
      <c r="AQ1927" s="17"/>
    </row>
    <row r="1928" spans="24:43" x14ac:dyDescent="0.45">
      <c r="X1928" s="2"/>
      <c r="Y1928" s="2"/>
      <c r="AC1928" s="13"/>
      <c r="AD1928" s="13"/>
      <c r="AE1928" s="13"/>
      <c r="AF1928" s="17"/>
      <c r="AH1928" s="2"/>
      <c r="AL1928" s="17"/>
      <c r="AM1928" s="17"/>
      <c r="AN1928" s="17"/>
      <c r="AO1928" s="17"/>
      <c r="AP1928" s="17"/>
      <c r="AQ1928" s="17"/>
    </row>
    <row r="1929" spans="24:43" x14ac:dyDescent="0.45">
      <c r="X1929" s="2"/>
      <c r="Y1929" s="2"/>
      <c r="AC1929" s="13"/>
      <c r="AD1929" s="13"/>
      <c r="AE1929" s="13"/>
      <c r="AF1929" s="17"/>
      <c r="AH1929" s="2"/>
      <c r="AL1929" s="17"/>
      <c r="AM1929" s="17"/>
      <c r="AN1929" s="17"/>
      <c r="AO1929" s="17"/>
      <c r="AP1929" s="17"/>
      <c r="AQ1929" s="17"/>
    </row>
    <row r="1930" spans="24:43" x14ac:dyDescent="0.45">
      <c r="X1930" s="2"/>
      <c r="Y1930" s="2"/>
      <c r="AC1930" s="13"/>
      <c r="AD1930" s="13"/>
      <c r="AE1930" s="13"/>
      <c r="AF1930" s="17"/>
      <c r="AH1930" s="2"/>
      <c r="AL1930" s="17"/>
      <c r="AM1930" s="17"/>
      <c r="AN1930" s="17"/>
      <c r="AO1930" s="17"/>
      <c r="AP1930" s="17"/>
      <c r="AQ1930" s="17"/>
    </row>
    <row r="1931" spans="24:43" x14ac:dyDescent="0.45">
      <c r="X1931" s="2"/>
      <c r="Y1931" s="2"/>
      <c r="AC1931" s="13"/>
      <c r="AD1931" s="13"/>
      <c r="AE1931" s="13"/>
      <c r="AF1931" s="17"/>
      <c r="AH1931" s="2"/>
      <c r="AL1931" s="17"/>
      <c r="AM1931" s="17"/>
      <c r="AN1931" s="17"/>
      <c r="AO1931" s="17"/>
      <c r="AP1931" s="17"/>
      <c r="AQ1931" s="17"/>
    </row>
    <row r="1932" spans="24:43" x14ac:dyDescent="0.45">
      <c r="X1932" s="2"/>
      <c r="Y1932" s="2"/>
      <c r="AC1932" s="13"/>
      <c r="AD1932" s="13"/>
      <c r="AE1932" s="13"/>
      <c r="AF1932" s="17"/>
      <c r="AH1932" s="2"/>
      <c r="AL1932" s="17"/>
      <c r="AM1932" s="17"/>
      <c r="AN1932" s="17"/>
      <c r="AO1932" s="17"/>
      <c r="AP1932" s="17"/>
      <c r="AQ1932" s="17"/>
    </row>
    <row r="1933" spans="24:43" x14ac:dyDescent="0.45">
      <c r="X1933" s="2"/>
      <c r="Y1933" s="2"/>
      <c r="AC1933" s="13"/>
      <c r="AD1933" s="13"/>
      <c r="AE1933" s="13"/>
      <c r="AF1933" s="17"/>
      <c r="AH1933" s="2"/>
      <c r="AL1933" s="17"/>
      <c r="AM1933" s="17"/>
      <c r="AN1933" s="17"/>
      <c r="AO1933" s="17"/>
      <c r="AP1933" s="17"/>
      <c r="AQ1933" s="17"/>
    </row>
    <row r="1934" spans="24:43" x14ac:dyDescent="0.45">
      <c r="X1934" s="2"/>
      <c r="Y1934" s="2"/>
      <c r="AC1934" s="13"/>
      <c r="AD1934" s="13"/>
      <c r="AE1934" s="13"/>
      <c r="AF1934" s="17"/>
      <c r="AH1934" s="2"/>
      <c r="AL1934" s="17"/>
      <c r="AM1934" s="17"/>
      <c r="AN1934" s="17"/>
      <c r="AO1934" s="17"/>
      <c r="AP1934" s="17"/>
      <c r="AQ1934" s="17"/>
    </row>
    <row r="1935" spans="24:43" x14ac:dyDescent="0.45">
      <c r="X1935" s="2"/>
      <c r="Y1935" s="2"/>
      <c r="AC1935" s="13"/>
      <c r="AD1935" s="13"/>
      <c r="AE1935" s="13"/>
      <c r="AF1935" s="17"/>
      <c r="AH1935" s="2"/>
      <c r="AL1935" s="17"/>
      <c r="AM1935" s="17"/>
      <c r="AN1935" s="17"/>
      <c r="AO1935" s="17"/>
      <c r="AP1935" s="17"/>
      <c r="AQ1935" s="17"/>
    </row>
    <row r="1936" spans="24:43" x14ac:dyDescent="0.45">
      <c r="X1936" s="2"/>
      <c r="Y1936" s="2"/>
      <c r="AC1936" s="13"/>
      <c r="AD1936" s="13"/>
      <c r="AE1936" s="13"/>
      <c r="AF1936" s="17"/>
      <c r="AH1936" s="2"/>
      <c r="AL1936" s="17"/>
      <c r="AM1936" s="17"/>
      <c r="AN1936" s="17"/>
      <c r="AO1936" s="17"/>
      <c r="AP1936" s="17"/>
      <c r="AQ1936" s="17"/>
    </row>
    <row r="1937" spans="24:43" x14ac:dyDescent="0.45">
      <c r="X1937" s="2"/>
      <c r="Y1937" s="2"/>
      <c r="AC1937" s="13"/>
      <c r="AD1937" s="13"/>
      <c r="AE1937" s="13"/>
      <c r="AF1937" s="17"/>
      <c r="AH1937" s="2"/>
      <c r="AL1937" s="17"/>
      <c r="AM1937" s="17"/>
      <c r="AN1937" s="17"/>
      <c r="AO1937" s="17"/>
      <c r="AP1937" s="17"/>
      <c r="AQ1937" s="17"/>
    </row>
    <row r="1938" spans="24:43" x14ac:dyDescent="0.45">
      <c r="X1938" s="2"/>
      <c r="Y1938" s="2"/>
      <c r="AC1938" s="13"/>
      <c r="AD1938" s="13"/>
      <c r="AE1938" s="13"/>
      <c r="AF1938" s="17"/>
      <c r="AH1938" s="2"/>
      <c r="AL1938" s="17"/>
      <c r="AM1938" s="17"/>
      <c r="AN1938" s="17"/>
      <c r="AO1938" s="17"/>
      <c r="AP1938" s="17"/>
      <c r="AQ1938" s="17"/>
    </row>
    <row r="1939" spans="24:43" x14ac:dyDescent="0.45">
      <c r="X1939" s="2"/>
      <c r="Y1939" s="2"/>
      <c r="AC1939" s="13"/>
      <c r="AD1939" s="13"/>
      <c r="AE1939" s="13"/>
      <c r="AF1939" s="17"/>
      <c r="AH1939" s="2"/>
      <c r="AL1939" s="17"/>
      <c r="AM1939" s="17"/>
      <c r="AN1939" s="17"/>
      <c r="AO1939" s="17"/>
      <c r="AP1939" s="17"/>
      <c r="AQ1939" s="17"/>
    </row>
    <row r="1940" spans="24:43" x14ac:dyDescent="0.45">
      <c r="X1940" s="2"/>
      <c r="Y1940" s="2"/>
      <c r="AC1940" s="13"/>
      <c r="AD1940" s="13"/>
      <c r="AE1940" s="13"/>
      <c r="AF1940" s="17"/>
      <c r="AH1940" s="2"/>
      <c r="AL1940" s="17"/>
      <c r="AM1940" s="17"/>
      <c r="AN1940" s="17"/>
      <c r="AO1940" s="17"/>
      <c r="AP1940" s="17"/>
      <c r="AQ1940" s="17"/>
    </row>
    <row r="1941" spans="24:43" x14ac:dyDescent="0.45">
      <c r="X1941" s="2"/>
      <c r="Y1941" s="2"/>
      <c r="AC1941" s="13"/>
      <c r="AD1941" s="13"/>
      <c r="AE1941" s="13"/>
      <c r="AF1941" s="17"/>
      <c r="AH1941" s="2"/>
      <c r="AL1941" s="17"/>
      <c r="AM1941" s="17"/>
      <c r="AN1941" s="17"/>
      <c r="AO1941" s="17"/>
      <c r="AP1941" s="17"/>
      <c r="AQ1941" s="17"/>
    </row>
    <row r="1942" spans="24:43" x14ac:dyDescent="0.45">
      <c r="X1942" s="2"/>
      <c r="Y1942" s="2"/>
      <c r="AC1942" s="13"/>
      <c r="AD1942" s="13"/>
      <c r="AE1942" s="13"/>
      <c r="AF1942" s="17"/>
      <c r="AH1942" s="2"/>
      <c r="AL1942" s="17"/>
      <c r="AM1942" s="17"/>
      <c r="AN1942" s="17"/>
      <c r="AO1942" s="17"/>
      <c r="AP1942" s="17"/>
      <c r="AQ1942" s="17"/>
    </row>
    <row r="1943" spans="24:43" x14ac:dyDescent="0.45">
      <c r="X1943" s="2"/>
      <c r="Y1943" s="2"/>
      <c r="AC1943" s="13"/>
      <c r="AD1943" s="13"/>
      <c r="AE1943" s="13"/>
      <c r="AF1943" s="17"/>
      <c r="AH1943" s="2"/>
      <c r="AL1943" s="17"/>
      <c r="AM1943" s="17"/>
      <c r="AN1943" s="17"/>
      <c r="AO1943" s="17"/>
      <c r="AP1943" s="17"/>
      <c r="AQ1943" s="17"/>
    </row>
    <row r="1944" spans="24:43" x14ac:dyDescent="0.45">
      <c r="X1944" s="2"/>
      <c r="Y1944" s="2"/>
      <c r="AC1944" s="13"/>
      <c r="AD1944" s="13"/>
      <c r="AE1944" s="13"/>
      <c r="AF1944" s="17"/>
      <c r="AH1944" s="2"/>
      <c r="AL1944" s="17"/>
      <c r="AM1944" s="17"/>
      <c r="AN1944" s="17"/>
      <c r="AO1944" s="17"/>
      <c r="AP1944" s="17"/>
      <c r="AQ1944" s="17"/>
    </row>
    <row r="1945" spans="24:43" x14ac:dyDescent="0.45">
      <c r="X1945" s="2"/>
      <c r="Y1945" s="2"/>
      <c r="AC1945" s="13"/>
      <c r="AD1945" s="13"/>
      <c r="AE1945" s="13"/>
      <c r="AF1945" s="17"/>
      <c r="AH1945" s="2"/>
      <c r="AL1945" s="17"/>
      <c r="AM1945" s="17"/>
      <c r="AN1945" s="17"/>
      <c r="AO1945" s="17"/>
      <c r="AP1945" s="17"/>
      <c r="AQ1945" s="17"/>
    </row>
    <row r="1946" spans="24:43" x14ac:dyDescent="0.45">
      <c r="X1946" s="2"/>
      <c r="Y1946" s="2"/>
      <c r="AC1946" s="13"/>
      <c r="AD1946" s="13"/>
      <c r="AE1946" s="13"/>
      <c r="AF1946" s="17"/>
      <c r="AH1946" s="2"/>
      <c r="AL1946" s="17"/>
      <c r="AM1946" s="17"/>
      <c r="AN1946" s="17"/>
      <c r="AO1946" s="17"/>
      <c r="AP1946" s="17"/>
      <c r="AQ1946" s="17"/>
    </row>
    <row r="1947" spans="24:43" x14ac:dyDescent="0.45">
      <c r="X1947" s="2"/>
      <c r="Y1947" s="2"/>
      <c r="AC1947" s="13"/>
      <c r="AD1947" s="13"/>
      <c r="AE1947" s="13"/>
      <c r="AF1947" s="17"/>
      <c r="AH1947" s="2"/>
      <c r="AL1947" s="17"/>
      <c r="AM1947" s="17"/>
      <c r="AN1947" s="17"/>
      <c r="AO1947" s="17"/>
      <c r="AP1947" s="17"/>
      <c r="AQ1947" s="17"/>
    </row>
    <row r="1948" spans="24:43" x14ac:dyDescent="0.45">
      <c r="X1948" s="2"/>
      <c r="Y1948" s="2"/>
      <c r="AC1948" s="13"/>
      <c r="AD1948" s="13"/>
      <c r="AE1948" s="13"/>
      <c r="AF1948" s="17"/>
      <c r="AH1948" s="2"/>
      <c r="AL1948" s="17"/>
      <c r="AM1948" s="17"/>
      <c r="AN1948" s="17"/>
      <c r="AO1948" s="17"/>
      <c r="AP1948" s="17"/>
      <c r="AQ1948" s="17"/>
    </row>
    <row r="1949" spans="24:43" x14ac:dyDescent="0.45">
      <c r="X1949" s="2"/>
      <c r="Y1949" s="2"/>
      <c r="AC1949" s="13"/>
      <c r="AD1949" s="13"/>
      <c r="AE1949" s="13"/>
      <c r="AF1949" s="17"/>
      <c r="AH1949" s="2"/>
      <c r="AL1949" s="17"/>
      <c r="AM1949" s="17"/>
      <c r="AN1949" s="17"/>
      <c r="AO1949" s="17"/>
      <c r="AP1949" s="17"/>
      <c r="AQ1949" s="17"/>
    </row>
    <row r="1950" spans="24:43" x14ac:dyDescent="0.45">
      <c r="X1950" s="2"/>
      <c r="Y1950" s="2"/>
      <c r="AC1950" s="13"/>
      <c r="AD1950" s="13"/>
      <c r="AE1950" s="13"/>
      <c r="AF1950" s="17"/>
      <c r="AH1950" s="2"/>
      <c r="AL1950" s="17"/>
      <c r="AM1950" s="17"/>
      <c r="AN1950" s="17"/>
      <c r="AO1950" s="17"/>
      <c r="AP1950" s="17"/>
      <c r="AQ1950" s="17"/>
    </row>
    <row r="1951" spans="24:43" x14ac:dyDescent="0.45">
      <c r="X1951" s="2"/>
      <c r="Y1951" s="2"/>
      <c r="AC1951" s="13"/>
      <c r="AD1951" s="13"/>
      <c r="AE1951" s="13"/>
      <c r="AF1951" s="17"/>
      <c r="AH1951" s="2"/>
      <c r="AL1951" s="17"/>
      <c r="AM1951" s="17"/>
      <c r="AN1951" s="17"/>
      <c r="AO1951" s="17"/>
      <c r="AP1951" s="17"/>
      <c r="AQ1951" s="17"/>
    </row>
    <row r="1952" spans="24:43" x14ac:dyDescent="0.45">
      <c r="X1952" s="2"/>
      <c r="Y1952" s="2"/>
      <c r="AC1952" s="13"/>
      <c r="AD1952" s="13"/>
      <c r="AE1952" s="13"/>
      <c r="AF1952" s="17"/>
      <c r="AH1952" s="2"/>
      <c r="AL1952" s="17"/>
      <c r="AM1952" s="17"/>
      <c r="AN1952" s="17"/>
      <c r="AO1952" s="17"/>
      <c r="AP1952" s="17"/>
      <c r="AQ1952" s="17"/>
    </row>
    <row r="1953" spans="24:43" x14ac:dyDescent="0.45">
      <c r="X1953" s="2"/>
      <c r="Y1953" s="2"/>
      <c r="AC1953" s="13"/>
      <c r="AD1953" s="13"/>
      <c r="AE1953" s="13"/>
      <c r="AF1953" s="17"/>
      <c r="AH1953" s="2"/>
      <c r="AL1953" s="17"/>
      <c r="AM1953" s="17"/>
      <c r="AN1953" s="17"/>
      <c r="AO1953" s="17"/>
      <c r="AP1953" s="17"/>
      <c r="AQ1953" s="17"/>
    </row>
    <row r="1954" spans="24:43" x14ac:dyDescent="0.45">
      <c r="X1954" s="2"/>
      <c r="Y1954" s="2"/>
      <c r="AC1954" s="13"/>
      <c r="AD1954" s="13"/>
      <c r="AE1954" s="13"/>
      <c r="AF1954" s="17"/>
      <c r="AH1954" s="2"/>
      <c r="AL1954" s="17"/>
      <c r="AM1954" s="17"/>
      <c r="AN1954" s="17"/>
      <c r="AO1954" s="17"/>
      <c r="AP1954" s="17"/>
      <c r="AQ1954" s="17"/>
    </row>
    <row r="1955" spans="24:43" x14ac:dyDescent="0.45">
      <c r="X1955" s="2"/>
      <c r="Y1955" s="2"/>
      <c r="AC1955" s="13"/>
      <c r="AD1955" s="13"/>
      <c r="AE1955" s="13"/>
      <c r="AF1955" s="17"/>
      <c r="AH1955" s="2"/>
      <c r="AL1955" s="17"/>
      <c r="AM1955" s="17"/>
      <c r="AN1955" s="17"/>
      <c r="AO1955" s="17"/>
      <c r="AP1955" s="17"/>
      <c r="AQ1955" s="17"/>
    </row>
    <row r="1956" spans="24:43" x14ac:dyDescent="0.45">
      <c r="X1956" s="2"/>
      <c r="Y1956" s="2"/>
      <c r="AC1956" s="13"/>
      <c r="AD1956" s="13"/>
      <c r="AE1956" s="13"/>
      <c r="AF1956" s="17"/>
      <c r="AH1956" s="2"/>
      <c r="AL1956" s="17"/>
      <c r="AM1956" s="17"/>
      <c r="AN1956" s="17"/>
      <c r="AO1956" s="17"/>
      <c r="AP1956" s="17"/>
      <c r="AQ1956" s="17"/>
    </row>
    <row r="1957" spans="24:43" x14ac:dyDescent="0.45">
      <c r="X1957" s="2"/>
      <c r="Y1957" s="2"/>
      <c r="AC1957" s="13"/>
      <c r="AD1957" s="13"/>
      <c r="AE1957" s="13"/>
      <c r="AF1957" s="17"/>
      <c r="AH1957" s="2"/>
      <c r="AL1957" s="17"/>
      <c r="AM1957" s="17"/>
      <c r="AN1957" s="17"/>
      <c r="AO1957" s="17"/>
      <c r="AP1957" s="17"/>
      <c r="AQ1957" s="17"/>
    </row>
    <row r="1958" spans="24:43" x14ac:dyDescent="0.45">
      <c r="X1958" s="2"/>
      <c r="Y1958" s="2"/>
      <c r="AC1958" s="13"/>
      <c r="AD1958" s="13"/>
      <c r="AE1958" s="13"/>
      <c r="AF1958" s="17"/>
      <c r="AH1958" s="2"/>
      <c r="AL1958" s="17"/>
      <c r="AM1958" s="17"/>
      <c r="AN1958" s="17"/>
      <c r="AO1958" s="17"/>
      <c r="AP1958" s="17"/>
      <c r="AQ1958" s="17"/>
    </row>
    <row r="1959" spans="24:43" x14ac:dyDescent="0.45">
      <c r="X1959" s="2"/>
      <c r="Y1959" s="2"/>
      <c r="AC1959" s="13"/>
      <c r="AD1959" s="13"/>
      <c r="AE1959" s="13"/>
      <c r="AF1959" s="17"/>
      <c r="AH1959" s="2"/>
      <c r="AL1959" s="17"/>
      <c r="AM1959" s="17"/>
      <c r="AN1959" s="17"/>
      <c r="AO1959" s="17"/>
      <c r="AP1959" s="17"/>
      <c r="AQ1959" s="17"/>
    </row>
    <row r="1960" spans="24:43" x14ac:dyDescent="0.45">
      <c r="X1960" s="2"/>
      <c r="Y1960" s="2"/>
      <c r="AC1960" s="13"/>
      <c r="AD1960" s="13"/>
      <c r="AE1960" s="13"/>
      <c r="AF1960" s="17"/>
      <c r="AH1960" s="2"/>
      <c r="AL1960" s="17"/>
      <c r="AM1960" s="17"/>
      <c r="AN1960" s="17"/>
      <c r="AO1960" s="17"/>
      <c r="AP1960" s="17"/>
      <c r="AQ1960" s="17"/>
    </row>
    <row r="1961" spans="24:43" x14ac:dyDescent="0.45">
      <c r="X1961" s="2"/>
      <c r="Y1961" s="2"/>
      <c r="AC1961" s="13"/>
      <c r="AD1961" s="13"/>
      <c r="AE1961" s="13"/>
      <c r="AF1961" s="17"/>
      <c r="AH1961" s="2"/>
      <c r="AL1961" s="17"/>
      <c r="AM1961" s="17"/>
      <c r="AN1961" s="17"/>
      <c r="AO1961" s="17"/>
      <c r="AP1961" s="17"/>
      <c r="AQ1961" s="17"/>
    </row>
    <row r="1962" spans="24:43" x14ac:dyDescent="0.45">
      <c r="X1962" s="2"/>
      <c r="Y1962" s="2"/>
      <c r="AC1962" s="13"/>
      <c r="AD1962" s="13"/>
      <c r="AE1962" s="13"/>
      <c r="AF1962" s="17"/>
      <c r="AH1962" s="2"/>
      <c r="AL1962" s="17"/>
      <c r="AM1962" s="17"/>
      <c r="AN1962" s="17"/>
      <c r="AO1962" s="17"/>
      <c r="AP1962" s="17"/>
      <c r="AQ1962" s="17"/>
    </row>
    <row r="1963" spans="24:43" x14ac:dyDescent="0.45">
      <c r="X1963" s="2"/>
      <c r="Y1963" s="2"/>
      <c r="AC1963" s="13"/>
      <c r="AD1963" s="13"/>
      <c r="AE1963" s="13"/>
      <c r="AF1963" s="17"/>
      <c r="AH1963" s="2"/>
      <c r="AL1963" s="17"/>
      <c r="AM1963" s="17"/>
      <c r="AN1963" s="17"/>
      <c r="AO1963" s="17"/>
      <c r="AP1963" s="17"/>
      <c r="AQ1963" s="17"/>
    </row>
    <row r="1964" spans="24:43" x14ac:dyDescent="0.45">
      <c r="X1964" s="2"/>
      <c r="Y1964" s="2"/>
      <c r="AC1964" s="13"/>
      <c r="AD1964" s="13"/>
      <c r="AE1964" s="13"/>
      <c r="AF1964" s="17"/>
      <c r="AH1964" s="2"/>
      <c r="AL1964" s="17"/>
      <c r="AM1964" s="17"/>
      <c r="AN1964" s="17"/>
      <c r="AO1964" s="17"/>
      <c r="AP1964" s="17"/>
      <c r="AQ1964" s="17"/>
    </row>
    <row r="1965" spans="24:43" x14ac:dyDescent="0.45">
      <c r="X1965" s="2"/>
      <c r="Y1965" s="2"/>
      <c r="AC1965" s="13"/>
      <c r="AD1965" s="13"/>
      <c r="AE1965" s="13"/>
      <c r="AF1965" s="17"/>
      <c r="AH1965" s="2"/>
      <c r="AL1965" s="17"/>
      <c r="AM1965" s="17"/>
      <c r="AN1965" s="17"/>
      <c r="AO1965" s="17"/>
      <c r="AP1965" s="17"/>
      <c r="AQ1965" s="17"/>
    </row>
    <row r="1966" spans="24:43" x14ac:dyDescent="0.45">
      <c r="X1966" s="2"/>
      <c r="Y1966" s="2"/>
      <c r="AC1966" s="13"/>
      <c r="AD1966" s="13"/>
      <c r="AE1966" s="13"/>
      <c r="AF1966" s="17"/>
      <c r="AH1966" s="2"/>
      <c r="AL1966" s="17"/>
      <c r="AM1966" s="17"/>
      <c r="AN1966" s="17"/>
      <c r="AO1966" s="17"/>
      <c r="AP1966" s="17"/>
      <c r="AQ1966" s="17"/>
    </row>
    <row r="1967" spans="24:43" x14ac:dyDescent="0.45">
      <c r="X1967" s="2"/>
      <c r="Y1967" s="2"/>
      <c r="AC1967" s="13"/>
      <c r="AD1967" s="13"/>
      <c r="AE1967" s="13"/>
      <c r="AF1967" s="17"/>
      <c r="AH1967" s="2"/>
      <c r="AL1967" s="17"/>
      <c r="AM1967" s="17"/>
      <c r="AN1967" s="17"/>
      <c r="AO1967" s="17"/>
      <c r="AP1967" s="17"/>
      <c r="AQ1967" s="17"/>
    </row>
    <row r="1968" spans="24:43" x14ac:dyDescent="0.45">
      <c r="X1968" s="2"/>
      <c r="Y1968" s="2"/>
      <c r="AC1968" s="13"/>
      <c r="AD1968" s="13"/>
      <c r="AE1968" s="13"/>
      <c r="AF1968" s="17"/>
      <c r="AH1968" s="2"/>
      <c r="AL1968" s="17"/>
      <c r="AM1968" s="17"/>
      <c r="AN1968" s="17"/>
      <c r="AO1968" s="17"/>
      <c r="AP1968" s="17"/>
      <c r="AQ1968" s="17"/>
    </row>
    <row r="1969" spans="24:43" x14ac:dyDescent="0.45">
      <c r="X1969" s="2"/>
      <c r="Y1969" s="2"/>
      <c r="AC1969" s="13"/>
      <c r="AD1969" s="13"/>
      <c r="AE1969" s="13"/>
      <c r="AF1969" s="17"/>
      <c r="AH1969" s="2"/>
      <c r="AL1969" s="17"/>
      <c r="AM1969" s="17"/>
      <c r="AN1969" s="17"/>
      <c r="AO1969" s="17"/>
      <c r="AP1969" s="17"/>
      <c r="AQ1969" s="17"/>
    </row>
    <row r="1970" spans="24:43" x14ac:dyDescent="0.45">
      <c r="X1970" s="2"/>
      <c r="Y1970" s="2"/>
      <c r="AC1970" s="13"/>
      <c r="AD1970" s="13"/>
      <c r="AE1970" s="13"/>
      <c r="AF1970" s="17"/>
      <c r="AH1970" s="2"/>
      <c r="AL1970" s="17"/>
      <c r="AM1970" s="17"/>
      <c r="AN1970" s="17"/>
      <c r="AO1970" s="17"/>
      <c r="AP1970" s="17"/>
      <c r="AQ1970" s="17"/>
    </row>
    <row r="1971" spans="24:43" x14ac:dyDescent="0.45">
      <c r="X1971" s="2"/>
      <c r="Y1971" s="2"/>
      <c r="AC1971" s="13"/>
      <c r="AD1971" s="13"/>
      <c r="AE1971" s="13"/>
      <c r="AF1971" s="17"/>
      <c r="AH1971" s="2"/>
      <c r="AL1971" s="17"/>
      <c r="AM1971" s="17"/>
      <c r="AN1971" s="17"/>
      <c r="AO1971" s="17"/>
      <c r="AP1971" s="17"/>
      <c r="AQ1971" s="17"/>
    </row>
    <row r="1972" spans="24:43" x14ac:dyDescent="0.45">
      <c r="X1972" s="2"/>
      <c r="Y1972" s="2"/>
      <c r="AC1972" s="13"/>
      <c r="AD1972" s="13"/>
      <c r="AE1972" s="13"/>
      <c r="AF1972" s="17"/>
      <c r="AH1972" s="2"/>
      <c r="AL1972" s="17"/>
      <c r="AM1972" s="17"/>
      <c r="AN1972" s="17"/>
      <c r="AO1972" s="17"/>
      <c r="AP1972" s="17"/>
      <c r="AQ1972" s="17"/>
    </row>
    <row r="1973" spans="24:43" x14ac:dyDescent="0.45">
      <c r="X1973" s="2"/>
      <c r="Y1973" s="2"/>
      <c r="AC1973" s="13"/>
      <c r="AD1973" s="13"/>
      <c r="AE1973" s="13"/>
      <c r="AF1973" s="17"/>
      <c r="AH1973" s="2"/>
      <c r="AL1973" s="17"/>
      <c r="AM1973" s="17"/>
      <c r="AN1973" s="17"/>
      <c r="AO1973" s="17"/>
      <c r="AP1973" s="17"/>
      <c r="AQ1973" s="17"/>
    </row>
    <row r="1974" spans="24:43" x14ac:dyDescent="0.45">
      <c r="X1974" s="2"/>
      <c r="Y1974" s="2"/>
      <c r="AC1974" s="13"/>
      <c r="AD1974" s="13"/>
      <c r="AE1974" s="13"/>
      <c r="AF1974" s="17"/>
      <c r="AH1974" s="2"/>
      <c r="AL1974" s="17"/>
      <c r="AM1974" s="17"/>
      <c r="AN1974" s="17"/>
      <c r="AO1974" s="17"/>
      <c r="AP1974" s="17"/>
      <c r="AQ1974" s="17"/>
    </row>
    <row r="1975" spans="24:43" x14ac:dyDescent="0.45">
      <c r="X1975" s="2"/>
      <c r="Y1975" s="2"/>
      <c r="AC1975" s="13"/>
      <c r="AD1975" s="13"/>
      <c r="AE1975" s="13"/>
      <c r="AF1975" s="17"/>
      <c r="AH1975" s="2"/>
      <c r="AL1975" s="17"/>
      <c r="AM1975" s="17"/>
      <c r="AN1975" s="17"/>
      <c r="AO1975" s="17"/>
      <c r="AP1975" s="17"/>
      <c r="AQ1975" s="17"/>
    </row>
    <row r="1976" spans="24:43" x14ac:dyDescent="0.45">
      <c r="X1976" s="2"/>
      <c r="Y1976" s="2"/>
      <c r="AC1976" s="13"/>
      <c r="AD1976" s="13"/>
      <c r="AE1976" s="13"/>
      <c r="AF1976" s="17"/>
      <c r="AH1976" s="2"/>
      <c r="AL1976" s="17"/>
      <c r="AM1976" s="17"/>
      <c r="AN1976" s="17"/>
      <c r="AO1976" s="17"/>
      <c r="AP1976" s="17"/>
      <c r="AQ1976" s="17"/>
    </row>
    <row r="1977" spans="24:43" x14ac:dyDescent="0.45">
      <c r="X1977" s="2"/>
      <c r="Y1977" s="2"/>
      <c r="AC1977" s="13"/>
      <c r="AD1977" s="13"/>
      <c r="AE1977" s="13"/>
      <c r="AF1977" s="17"/>
      <c r="AH1977" s="2"/>
      <c r="AL1977" s="17"/>
      <c r="AM1977" s="17"/>
      <c r="AN1977" s="17"/>
      <c r="AO1977" s="17"/>
      <c r="AP1977" s="17"/>
      <c r="AQ1977" s="17"/>
    </row>
    <row r="1978" spans="24:43" x14ac:dyDescent="0.45">
      <c r="X1978" s="2"/>
      <c r="Y1978" s="2"/>
      <c r="AC1978" s="13"/>
      <c r="AD1978" s="13"/>
      <c r="AE1978" s="13"/>
      <c r="AF1978" s="17"/>
      <c r="AH1978" s="2"/>
      <c r="AL1978" s="17"/>
      <c r="AM1978" s="17"/>
      <c r="AN1978" s="17"/>
      <c r="AO1978" s="17"/>
      <c r="AP1978" s="17"/>
      <c r="AQ1978" s="17"/>
    </row>
    <row r="1979" spans="24:43" x14ac:dyDescent="0.45">
      <c r="X1979" s="2"/>
      <c r="Y1979" s="2"/>
      <c r="AC1979" s="13"/>
      <c r="AD1979" s="13"/>
      <c r="AE1979" s="13"/>
      <c r="AF1979" s="17"/>
      <c r="AH1979" s="2"/>
      <c r="AL1979" s="17"/>
      <c r="AM1979" s="17"/>
      <c r="AN1979" s="17"/>
      <c r="AO1979" s="17"/>
      <c r="AP1979" s="17"/>
      <c r="AQ1979" s="17"/>
    </row>
    <row r="1980" spans="24:43" x14ac:dyDescent="0.45">
      <c r="X1980" s="2"/>
      <c r="Y1980" s="2"/>
      <c r="AC1980" s="13"/>
      <c r="AD1980" s="13"/>
      <c r="AE1980" s="13"/>
      <c r="AF1980" s="17"/>
      <c r="AH1980" s="2"/>
      <c r="AL1980" s="17"/>
      <c r="AM1980" s="17"/>
      <c r="AN1980" s="17"/>
      <c r="AO1980" s="17"/>
      <c r="AP1980" s="17"/>
      <c r="AQ1980" s="17"/>
    </row>
    <row r="1981" spans="24:43" x14ac:dyDescent="0.45">
      <c r="X1981" s="2"/>
      <c r="Y1981" s="2"/>
      <c r="AC1981" s="13"/>
      <c r="AD1981" s="13"/>
      <c r="AE1981" s="13"/>
      <c r="AF1981" s="17"/>
      <c r="AH1981" s="2"/>
      <c r="AL1981" s="17"/>
      <c r="AM1981" s="17"/>
      <c r="AN1981" s="17"/>
      <c r="AO1981" s="17"/>
      <c r="AP1981" s="17"/>
      <c r="AQ1981" s="17"/>
    </row>
    <row r="1982" spans="24:43" x14ac:dyDescent="0.45">
      <c r="X1982" s="2"/>
      <c r="Y1982" s="2"/>
      <c r="AC1982" s="13"/>
      <c r="AD1982" s="13"/>
      <c r="AE1982" s="13"/>
      <c r="AF1982" s="17"/>
      <c r="AH1982" s="2"/>
      <c r="AL1982" s="17"/>
      <c r="AM1982" s="17"/>
      <c r="AN1982" s="17"/>
      <c r="AO1982" s="17"/>
      <c r="AP1982" s="17"/>
      <c r="AQ1982" s="17"/>
    </row>
    <row r="1983" spans="24:43" x14ac:dyDescent="0.45">
      <c r="X1983" s="2"/>
      <c r="Y1983" s="2"/>
      <c r="AC1983" s="13"/>
      <c r="AD1983" s="13"/>
      <c r="AE1983" s="13"/>
      <c r="AF1983" s="17"/>
      <c r="AH1983" s="2"/>
      <c r="AL1983" s="17"/>
      <c r="AM1983" s="17"/>
      <c r="AN1983" s="17"/>
      <c r="AO1983" s="17"/>
      <c r="AP1983" s="17"/>
      <c r="AQ1983" s="17"/>
    </row>
    <row r="1984" spans="24:43" x14ac:dyDescent="0.45">
      <c r="X1984" s="2"/>
      <c r="Y1984" s="2"/>
      <c r="AC1984" s="13"/>
      <c r="AD1984" s="13"/>
      <c r="AE1984" s="13"/>
      <c r="AF1984" s="17"/>
      <c r="AH1984" s="2"/>
      <c r="AL1984" s="17"/>
      <c r="AM1984" s="17"/>
      <c r="AN1984" s="17"/>
      <c r="AO1984" s="17"/>
      <c r="AP1984" s="17"/>
      <c r="AQ1984" s="17"/>
    </row>
    <row r="1985" spans="24:43" x14ac:dyDescent="0.45">
      <c r="X1985" s="2"/>
      <c r="Y1985" s="2"/>
      <c r="AC1985" s="13"/>
      <c r="AD1985" s="13"/>
      <c r="AE1985" s="13"/>
      <c r="AF1985" s="17"/>
      <c r="AH1985" s="2"/>
      <c r="AL1985" s="17"/>
      <c r="AM1985" s="17"/>
      <c r="AN1985" s="17"/>
      <c r="AO1985" s="17"/>
      <c r="AP1985" s="17"/>
      <c r="AQ1985" s="17"/>
    </row>
    <row r="1986" spans="24:43" x14ac:dyDescent="0.45">
      <c r="X1986" s="2"/>
      <c r="Y1986" s="2"/>
      <c r="AC1986" s="13"/>
      <c r="AD1986" s="13"/>
      <c r="AE1986" s="13"/>
      <c r="AF1986" s="17"/>
      <c r="AH1986" s="2"/>
      <c r="AL1986" s="17"/>
      <c r="AM1986" s="17"/>
      <c r="AN1986" s="17"/>
      <c r="AO1986" s="17"/>
      <c r="AP1986" s="17"/>
      <c r="AQ1986" s="17"/>
    </row>
    <row r="1987" spans="24:43" x14ac:dyDescent="0.45">
      <c r="X1987" s="2"/>
      <c r="Y1987" s="2"/>
      <c r="AC1987" s="13"/>
      <c r="AD1987" s="13"/>
      <c r="AE1987" s="13"/>
      <c r="AF1987" s="17"/>
      <c r="AH1987" s="2"/>
      <c r="AL1987" s="17"/>
      <c r="AM1987" s="17"/>
      <c r="AN1987" s="17"/>
      <c r="AO1987" s="17"/>
      <c r="AP1987" s="17"/>
      <c r="AQ1987" s="17"/>
    </row>
    <row r="1988" spans="24:43" x14ac:dyDescent="0.45">
      <c r="X1988" s="2"/>
      <c r="Y1988" s="2"/>
      <c r="AC1988" s="13"/>
      <c r="AD1988" s="13"/>
      <c r="AE1988" s="13"/>
      <c r="AF1988" s="17"/>
      <c r="AH1988" s="2"/>
      <c r="AL1988" s="17"/>
      <c r="AM1988" s="17"/>
      <c r="AN1988" s="17"/>
      <c r="AO1988" s="17"/>
      <c r="AP1988" s="17"/>
      <c r="AQ1988" s="17"/>
    </row>
    <row r="1989" spans="24:43" x14ac:dyDescent="0.45">
      <c r="X1989" s="2"/>
      <c r="Y1989" s="2"/>
      <c r="AC1989" s="13"/>
      <c r="AD1989" s="13"/>
      <c r="AE1989" s="13"/>
      <c r="AF1989" s="17"/>
      <c r="AH1989" s="2"/>
      <c r="AL1989" s="17"/>
      <c r="AM1989" s="17"/>
      <c r="AN1989" s="17"/>
      <c r="AO1989" s="17"/>
      <c r="AP1989" s="17"/>
      <c r="AQ1989" s="17"/>
    </row>
    <row r="1990" spans="24:43" x14ac:dyDescent="0.45">
      <c r="X1990" s="2"/>
      <c r="Y1990" s="2"/>
      <c r="AC1990" s="13"/>
      <c r="AD1990" s="13"/>
      <c r="AE1990" s="13"/>
      <c r="AF1990" s="17"/>
      <c r="AH1990" s="2"/>
      <c r="AL1990" s="17"/>
      <c r="AM1990" s="17"/>
      <c r="AN1990" s="17"/>
      <c r="AO1990" s="17"/>
      <c r="AP1990" s="17"/>
      <c r="AQ1990" s="17"/>
    </row>
    <row r="1991" spans="24:43" x14ac:dyDescent="0.45">
      <c r="X1991" s="2"/>
      <c r="Y1991" s="2"/>
      <c r="AC1991" s="13"/>
      <c r="AD1991" s="13"/>
      <c r="AE1991" s="13"/>
      <c r="AF1991" s="17"/>
      <c r="AH1991" s="2"/>
      <c r="AL1991" s="17"/>
      <c r="AM1991" s="17"/>
      <c r="AN1991" s="17"/>
      <c r="AO1991" s="17"/>
      <c r="AP1991" s="17"/>
      <c r="AQ1991" s="17"/>
    </row>
    <row r="1992" spans="24:43" x14ac:dyDescent="0.45">
      <c r="X1992" s="2"/>
      <c r="Y1992" s="2"/>
      <c r="AC1992" s="13"/>
      <c r="AD1992" s="13"/>
      <c r="AE1992" s="13"/>
      <c r="AF1992" s="17"/>
      <c r="AH1992" s="2"/>
      <c r="AL1992" s="17"/>
      <c r="AM1992" s="17"/>
      <c r="AN1992" s="17"/>
      <c r="AO1992" s="17"/>
      <c r="AP1992" s="17"/>
      <c r="AQ1992" s="17"/>
    </row>
    <row r="1993" spans="24:43" x14ac:dyDescent="0.45">
      <c r="X1993" s="2"/>
      <c r="Y1993" s="2"/>
      <c r="AC1993" s="13"/>
      <c r="AD1993" s="13"/>
      <c r="AE1993" s="13"/>
      <c r="AF1993" s="17"/>
      <c r="AH1993" s="2"/>
      <c r="AL1993" s="17"/>
      <c r="AM1993" s="17"/>
      <c r="AN1993" s="17"/>
      <c r="AO1993" s="17"/>
      <c r="AP1993" s="17"/>
      <c r="AQ1993" s="17"/>
    </row>
    <row r="1994" spans="24:43" x14ac:dyDescent="0.45">
      <c r="X1994" s="2"/>
      <c r="Y1994" s="2"/>
      <c r="AC1994" s="13"/>
      <c r="AD1994" s="13"/>
      <c r="AE1994" s="13"/>
      <c r="AF1994" s="17"/>
      <c r="AH1994" s="2"/>
      <c r="AL1994" s="17"/>
      <c r="AM1994" s="17"/>
      <c r="AN1994" s="17"/>
      <c r="AO1994" s="17"/>
      <c r="AP1994" s="17"/>
      <c r="AQ1994" s="17"/>
    </row>
    <row r="1995" spans="24:43" x14ac:dyDescent="0.45">
      <c r="X1995" s="2"/>
      <c r="Y1995" s="2"/>
      <c r="AC1995" s="13"/>
      <c r="AD1995" s="13"/>
      <c r="AE1995" s="13"/>
      <c r="AF1995" s="17"/>
      <c r="AH1995" s="2"/>
      <c r="AL1995" s="17"/>
      <c r="AM1995" s="17"/>
      <c r="AN1995" s="17"/>
      <c r="AO1995" s="17"/>
      <c r="AP1995" s="17"/>
      <c r="AQ1995" s="17"/>
    </row>
    <row r="1996" spans="24:43" x14ac:dyDescent="0.45">
      <c r="X1996" s="2"/>
      <c r="Y1996" s="2"/>
      <c r="AC1996" s="13"/>
      <c r="AD1996" s="13"/>
      <c r="AE1996" s="13"/>
      <c r="AF1996" s="17"/>
      <c r="AH1996" s="2"/>
      <c r="AL1996" s="17"/>
      <c r="AM1996" s="17"/>
      <c r="AN1996" s="17"/>
      <c r="AO1996" s="17"/>
      <c r="AP1996" s="17"/>
      <c r="AQ1996" s="17"/>
    </row>
    <row r="1997" spans="24:43" x14ac:dyDescent="0.45">
      <c r="X1997" s="2"/>
      <c r="Y1997" s="2"/>
      <c r="AC1997" s="13"/>
      <c r="AD1997" s="13"/>
      <c r="AE1997" s="13"/>
      <c r="AF1997" s="17"/>
      <c r="AH1997" s="2"/>
      <c r="AL1997" s="17"/>
      <c r="AM1997" s="17"/>
      <c r="AN1997" s="17"/>
      <c r="AO1997" s="17"/>
      <c r="AP1997" s="17"/>
      <c r="AQ1997" s="17"/>
    </row>
    <row r="1998" spans="24:43" x14ac:dyDescent="0.45">
      <c r="X1998" s="2"/>
      <c r="Y1998" s="2"/>
      <c r="AC1998" s="13"/>
      <c r="AD1998" s="13"/>
      <c r="AE1998" s="13"/>
      <c r="AF1998" s="17"/>
      <c r="AH1998" s="2"/>
      <c r="AL1998" s="17"/>
      <c r="AM1998" s="17"/>
      <c r="AN1998" s="17"/>
      <c r="AO1998" s="17"/>
      <c r="AP1998" s="17"/>
      <c r="AQ1998" s="17"/>
    </row>
    <row r="1999" spans="24:43" x14ac:dyDescent="0.45">
      <c r="X1999" s="2"/>
      <c r="Y1999" s="2"/>
      <c r="AC1999" s="13"/>
      <c r="AD1999" s="13"/>
      <c r="AE1999" s="13"/>
      <c r="AF1999" s="17"/>
      <c r="AH1999" s="2"/>
      <c r="AL1999" s="17"/>
      <c r="AM1999" s="17"/>
      <c r="AN1999" s="17"/>
      <c r="AO1999" s="17"/>
      <c r="AP1999" s="17"/>
      <c r="AQ1999" s="17"/>
    </row>
    <row r="2000" spans="24:43" x14ac:dyDescent="0.45">
      <c r="X2000" s="2"/>
      <c r="Y2000" s="2"/>
      <c r="AC2000" s="13"/>
      <c r="AD2000" s="13"/>
      <c r="AE2000" s="13"/>
      <c r="AF2000" s="17"/>
      <c r="AH2000" s="2"/>
      <c r="AL2000" s="17"/>
      <c r="AM2000" s="17"/>
      <c r="AN2000" s="17"/>
      <c r="AO2000" s="17"/>
      <c r="AP2000" s="17"/>
      <c r="AQ2000" s="17"/>
    </row>
    <row r="2001" spans="24:43" x14ac:dyDescent="0.45">
      <c r="X2001" s="2"/>
      <c r="Y2001" s="2"/>
      <c r="AC2001" s="13"/>
      <c r="AD2001" s="13"/>
      <c r="AE2001" s="13"/>
      <c r="AF2001" s="17"/>
      <c r="AH2001" s="2"/>
      <c r="AL2001" s="17"/>
      <c r="AM2001" s="17"/>
      <c r="AN2001" s="17"/>
      <c r="AO2001" s="17"/>
      <c r="AP2001" s="17"/>
      <c r="AQ2001" s="17"/>
    </row>
    <row r="2002" spans="24:43" x14ac:dyDescent="0.45">
      <c r="X2002" s="2"/>
      <c r="Y2002" s="2"/>
      <c r="AC2002" s="13"/>
      <c r="AD2002" s="13"/>
      <c r="AE2002" s="13"/>
      <c r="AF2002" s="17"/>
      <c r="AH2002" s="2"/>
      <c r="AL2002" s="17"/>
      <c r="AM2002" s="17"/>
      <c r="AN2002" s="17"/>
      <c r="AO2002" s="17"/>
      <c r="AP2002" s="17"/>
      <c r="AQ2002" s="17"/>
    </row>
    <row r="2003" spans="24:43" x14ac:dyDescent="0.45">
      <c r="X2003" s="2"/>
      <c r="Y2003" s="2"/>
      <c r="AC2003" s="13"/>
      <c r="AD2003" s="13"/>
      <c r="AE2003" s="13"/>
      <c r="AF2003" s="17"/>
      <c r="AH2003" s="2"/>
      <c r="AL2003" s="17"/>
      <c r="AM2003" s="17"/>
      <c r="AN2003" s="17"/>
      <c r="AO2003" s="17"/>
      <c r="AP2003" s="17"/>
      <c r="AQ2003" s="17"/>
    </row>
    <row r="2004" spans="24:43" x14ac:dyDescent="0.45">
      <c r="X2004" s="2"/>
      <c r="Y2004" s="2"/>
      <c r="AC2004" s="13"/>
      <c r="AD2004" s="13"/>
      <c r="AE2004" s="13"/>
      <c r="AF2004" s="17"/>
      <c r="AH2004" s="2"/>
      <c r="AL2004" s="17"/>
      <c r="AM2004" s="17"/>
      <c r="AN2004" s="17"/>
      <c r="AO2004" s="17"/>
      <c r="AP2004" s="17"/>
      <c r="AQ2004" s="17"/>
    </row>
    <row r="2005" spans="24:43" x14ac:dyDescent="0.45">
      <c r="X2005" s="2"/>
      <c r="Y2005" s="2"/>
      <c r="AC2005" s="13"/>
      <c r="AD2005" s="13"/>
      <c r="AE2005" s="13"/>
      <c r="AF2005" s="17"/>
      <c r="AH2005" s="2"/>
      <c r="AL2005" s="17"/>
      <c r="AM2005" s="17"/>
      <c r="AN2005" s="17"/>
      <c r="AO2005" s="17"/>
      <c r="AP2005" s="17"/>
      <c r="AQ2005" s="17"/>
    </row>
    <row r="2006" spans="24:43" x14ac:dyDescent="0.45">
      <c r="X2006" s="2"/>
      <c r="Y2006" s="2"/>
      <c r="AC2006" s="13"/>
      <c r="AD2006" s="13"/>
      <c r="AE2006" s="13"/>
      <c r="AF2006" s="17"/>
      <c r="AH2006" s="2"/>
      <c r="AL2006" s="17"/>
      <c r="AM2006" s="17"/>
      <c r="AN2006" s="17"/>
      <c r="AO2006" s="17"/>
      <c r="AP2006" s="17"/>
      <c r="AQ2006" s="17"/>
    </row>
    <row r="2007" spans="24:43" x14ac:dyDescent="0.45">
      <c r="X2007" s="2"/>
      <c r="Y2007" s="2"/>
      <c r="AC2007" s="13"/>
      <c r="AD2007" s="13"/>
      <c r="AE2007" s="13"/>
      <c r="AF2007" s="17"/>
      <c r="AH2007" s="2"/>
      <c r="AL2007" s="17"/>
      <c r="AM2007" s="17"/>
      <c r="AN2007" s="17"/>
      <c r="AO2007" s="17"/>
      <c r="AP2007" s="17"/>
      <c r="AQ2007" s="17"/>
    </row>
    <row r="2008" spans="24:43" x14ac:dyDescent="0.45">
      <c r="X2008" s="2"/>
      <c r="Y2008" s="2"/>
      <c r="AC2008" s="13"/>
      <c r="AD2008" s="13"/>
      <c r="AE2008" s="13"/>
      <c r="AF2008" s="17"/>
      <c r="AH2008" s="2"/>
      <c r="AL2008" s="17"/>
      <c r="AM2008" s="17"/>
      <c r="AN2008" s="17"/>
      <c r="AO2008" s="17"/>
      <c r="AP2008" s="17"/>
      <c r="AQ2008" s="17"/>
    </row>
    <row r="2009" spans="24:43" x14ac:dyDescent="0.45">
      <c r="X2009" s="2"/>
      <c r="Y2009" s="2"/>
      <c r="AC2009" s="13"/>
      <c r="AD2009" s="13"/>
      <c r="AE2009" s="13"/>
      <c r="AF2009" s="17"/>
      <c r="AH2009" s="2"/>
      <c r="AL2009" s="17"/>
      <c r="AM2009" s="17"/>
      <c r="AN2009" s="17"/>
      <c r="AO2009" s="17"/>
      <c r="AP2009" s="17"/>
      <c r="AQ2009" s="17"/>
    </row>
    <row r="2010" spans="24:43" x14ac:dyDescent="0.45">
      <c r="X2010" s="2"/>
      <c r="Y2010" s="2"/>
      <c r="AC2010" s="13"/>
      <c r="AD2010" s="13"/>
      <c r="AE2010" s="13"/>
      <c r="AF2010" s="17"/>
      <c r="AH2010" s="2"/>
      <c r="AL2010" s="17"/>
      <c r="AM2010" s="17"/>
      <c r="AN2010" s="17"/>
      <c r="AO2010" s="17"/>
      <c r="AP2010" s="17"/>
      <c r="AQ2010" s="17"/>
    </row>
    <row r="2011" spans="24:43" x14ac:dyDescent="0.45">
      <c r="X2011" s="2"/>
      <c r="Y2011" s="2"/>
      <c r="AC2011" s="13"/>
      <c r="AD2011" s="13"/>
      <c r="AE2011" s="13"/>
      <c r="AF2011" s="17"/>
      <c r="AH2011" s="2"/>
      <c r="AL2011" s="17"/>
      <c r="AM2011" s="17"/>
      <c r="AN2011" s="17"/>
      <c r="AO2011" s="17"/>
      <c r="AP2011" s="17"/>
      <c r="AQ2011" s="17"/>
    </row>
    <row r="2012" spans="24:43" x14ac:dyDescent="0.45">
      <c r="X2012" s="2"/>
      <c r="Y2012" s="2"/>
      <c r="AC2012" s="13"/>
      <c r="AD2012" s="13"/>
      <c r="AE2012" s="13"/>
      <c r="AF2012" s="17"/>
      <c r="AH2012" s="2"/>
      <c r="AL2012" s="17"/>
      <c r="AM2012" s="17"/>
      <c r="AN2012" s="17"/>
      <c r="AO2012" s="17"/>
      <c r="AP2012" s="17"/>
      <c r="AQ2012" s="17"/>
    </row>
    <row r="2013" spans="24:43" x14ac:dyDescent="0.45">
      <c r="X2013" s="2"/>
      <c r="Y2013" s="2"/>
      <c r="AC2013" s="13"/>
      <c r="AD2013" s="13"/>
      <c r="AE2013" s="13"/>
      <c r="AF2013" s="17"/>
      <c r="AH2013" s="2"/>
      <c r="AL2013" s="17"/>
      <c r="AM2013" s="17"/>
      <c r="AN2013" s="17"/>
      <c r="AO2013" s="17"/>
      <c r="AP2013" s="17"/>
      <c r="AQ2013" s="17"/>
    </row>
  </sheetData>
  <mergeCells count="16">
    <mergeCell ref="AV6:AW6"/>
    <mergeCell ref="AV7:AW7"/>
    <mergeCell ref="AT7:AU7"/>
    <mergeCell ref="X7:AD7"/>
    <mergeCell ref="AE7:AJ7"/>
    <mergeCell ref="AM7:AN7"/>
    <mergeCell ref="AO7:AQ7"/>
    <mergeCell ref="X6:AD6"/>
    <mergeCell ref="AE6:AJ6"/>
    <mergeCell ref="AM6:AN6"/>
    <mergeCell ref="AO6:AQ6"/>
    <mergeCell ref="L6:P6"/>
    <mergeCell ref="Q6:U6"/>
    <mergeCell ref="L7:P7"/>
    <mergeCell ref="Q7:U7"/>
    <mergeCell ref="AT6:AU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9E35-2A70-4295-8537-469ADD6034B4}">
  <dimension ref="B2:H28"/>
  <sheetViews>
    <sheetView zoomScale="110" zoomScaleNormal="110" workbookViewId="0">
      <selection activeCell="C5" sqref="C5"/>
    </sheetView>
  </sheetViews>
  <sheetFormatPr defaultRowHeight="14.25" x14ac:dyDescent="0.45"/>
  <cols>
    <col min="1" max="1" width="7.796875" style="1" customWidth="1"/>
    <col min="2" max="2" width="40.59765625" style="1" customWidth="1"/>
    <col min="3" max="3" width="85.6640625" style="1" customWidth="1"/>
    <col min="4" max="4" width="38.86328125" style="1" customWidth="1"/>
    <col min="5" max="5" width="46.59765625" style="1" customWidth="1"/>
    <col min="6" max="6" width="38.796875" style="1" customWidth="1"/>
    <col min="7" max="7" width="46.46484375" style="1" customWidth="1"/>
    <col min="8" max="16384" width="9.06640625" style="1"/>
  </cols>
  <sheetData>
    <row r="2" spans="2:7" ht="21" x14ac:dyDescent="0.65">
      <c r="B2" s="3" t="s">
        <v>49</v>
      </c>
    </row>
    <row r="3" spans="2:7" x14ac:dyDescent="0.45">
      <c r="B3" s="10" t="s">
        <v>50</v>
      </c>
    </row>
    <row r="4" spans="2:7" x14ac:dyDescent="0.45">
      <c r="B4" s="10"/>
    </row>
    <row r="6" spans="2:7" ht="18" x14ac:dyDescent="0.55000000000000004">
      <c r="B6" s="22" t="s">
        <v>51</v>
      </c>
    </row>
    <row r="7" spans="2:7" x14ac:dyDescent="0.45">
      <c r="B7" s="26" t="s">
        <v>42</v>
      </c>
      <c r="C7" s="28" t="s">
        <v>52</v>
      </c>
    </row>
    <row r="8" spans="2:7" ht="161.25" customHeight="1" x14ac:dyDescent="0.45">
      <c r="B8" s="30" t="s">
        <v>72</v>
      </c>
      <c r="C8" s="31" t="str" cm="1">
        <f t="array" aca="1" ref="C8" ca="1">_xll.Domino.LLM.Quen(B8,'PoD Calc'!$K$10:$AW$53)</f>
        <v>### Default/Interest Rate Risk Decomposition
#### Default/Interest Rate Risk Exposure:
The exposure here is primarily linked to the probability of default (PD) and the associated expected loss (EL). For this loan with loan ID `L001`, the probability of default at 1 year is **0.012525200843811**. This indicates that there's a 1.25% chance that the borrower will default within one year.
**What Causes a Loss?**
A loss occurs when a borrower defaults, and the bank must cover the defaulted loan balance. If the loan has an outstanding balance of $302,660.57 and the bank covers the full balance upon default, the loss would be this amount.
**How Concentrated is It?**
The concentration of this risk is relatively moderate. With a single loan having such a high PD, a default can result in a significant financial impact on the bank, especially if many similar loans have similar characteristics.
### Market Credit Spread Risk Decomposition
#### Market Credit Spread Risk Exposure:
Market credit spread risk is influenced by changes in credit spreads, which affect the expected loss (EL). For `L001`, the expected loss is **$18,815.3822048809**. This figure represents the anticipated loss from the loan should it default.
**What Causes a Loss?**
Changes in market credit spreads directly impact the expected loss. An increase in credit spreads increases the EL because the cost of funding (represented by the risk-free rate) rises, making it more expensive to replace the defaulted loan.
**How Concentrated is It?**
This risk is concentrated within a single loan. While it affects a large portion of the loan’s balance, the risk is isolated to `L001`. However, if the entire portfolio has a similar structure, the impact could be broader.
### Summary
For `L001`:
- **Default/Interest Rate Risk:** Relatively moderate concentration due to a single loan with a high PD.
- **Market Credit Spread Risk:** High exposure but concentrated within a single loan.
For the entire portfolio:
- **Default/Interest Rate Risk:** Requires aggregating the PDs and expected losses across all loans.
- **Market Credit Spread Risk:** Requires analyzing changes in credit spreads and their impact on the entire portfolio’s expected losses.</v>
      </c>
      <c r="D8" s="31"/>
    </row>
    <row r="9" spans="2:7" x14ac:dyDescent="0.45">
      <c r="B9" s="20"/>
      <c r="D9" s="27"/>
    </row>
    <row r="10" spans="2:7" ht="18" x14ac:dyDescent="0.55000000000000004">
      <c r="B10" s="22" t="s">
        <v>59</v>
      </c>
    </row>
    <row r="11" spans="2:7" x14ac:dyDescent="0.45">
      <c r="B11" s="26" t="s">
        <v>56</v>
      </c>
      <c r="C11" s="28" t="s">
        <v>52</v>
      </c>
      <c r="D11" s="26" t="s">
        <v>55</v>
      </c>
      <c r="E11" s="28" t="s">
        <v>52</v>
      </c>
      <c r="F11" s="26" t="s">
        <v>58</v>
      </c>
      <c r="G11" s="28" t="s">
        <v>52</v>
      </c>
    </row>
    <row r="12" spans="2:7" ht="185.25" x14ac:dyDescent="0.45">
      <c r="B12" s="30" t="s">
        <v>53</v>
      </c>
      <c r="C12" s="29" t="str" cm="1">
        <f t="array" aca="1" ref="C12" ca="1">_xll.Domino.LLM.Quen(B12,$C$8)</f>
        <v>CDS (Credit Default Swaps) effectively mitigate both the default/interest rate risk and market credit spread risk in these scenarios. For the individual loan `L001`, the high probability of default (PD) of 1.25% necessitates a robust risk management strategy. By structuring a CDS hedge, the bank can transfer the default risk to a counterparty, ensuring that the bank only bears the residual risk. This is particularly effective given that the concentration of risk is moderate but significant, meaning that even a single default can have a substantial financial impact.
For the entire portfolio, the cost efficiency of CDS premiums becomes even more critical. Since the exposure is concentrated within a few high-risk loans, the premium structure of CDS can be optimized to reflect the actual risk profile of the portfolio. Event-driven protection provided by CDS is irreplaceable here because it offers dynamic risk management capabilities, allowing the bank to adjust its risk exposure based on changes in the credit environment without having to restructure each loan individually. The premium structure ensures that the bank pays a premium only when the referenced entity defaults, thereby providing a cost-effective way to manage the overall credit risk of the portfolio.</v>
      </c>
      <c r="D12" s="30" t="s">
        <v>54</v>
      </c>
      <c r="E12" s="29" t="str" cm="1">
        <f t="array" aca="1" ref="E12" ca="1">_xll.Domino.LLM.Quen(D12,$C$8)</f>
        <v>In addressing the risks decomposed for Loan ID L001, an SOFR-based interest rate swap effectively mitigates both default/interest rate and market credit spread risks. For the default/interest rate risk, an SOFR swap can align the floating-rate portion of the loan with the SOFR index, which is less volatile than LIBOR and better reflects current market conditions. This alignment helps to reduce the variability in interest payments, thereby minimizing the risk of losses due to interest rate fluctuations. Regarding the market credit spread risk, SOFR swaps offer a hedge against changes in credit spreads by locking in a fixed interest rate, thus protecting against potential increases in the risk-free rate that could lead to higher expected losses. Additionally, the flexibility and operational simplicity of SOFR swaps make them an attractive choice over other hedges, ensuring that the portfolio's duration is well-matched to its notional value, further reducing overall risk exposure.</v>
      </c>
      <c r="F12" s="30" t="s">
        <v>57</v>
      </c>
      <c r="G12" s="29" t="str" cm="1">
        <f t="array" aca="1" ref="G12" ca="1">_xll.Domino.LLM.Quen(F12,$C$8)</f>
        <v>Credit spread hedges are particularly effective in protecting against the risks associated with both default and interest rate movements, especially given the nature of the risks highlighted. Unlike outright default events, which are rare and unpredictable, credit spread widening, which often reflects changes in market conditions, is more frequent and easier to anticipate. By hedging through credit spread products like credit index products, total return swaps, and credit spread options, we can capture and mitigate the volatility in market credit spreads, thereby reducing the overall risk exposure. For instance, if the loan portfolio is heavily concentrated in the technology sector, using a technology sector-specific credit spread index would be the most appropriate fit, allowing for precise risk management tailored to the unique characteristics of the portfolio.</v>
      </c>
    </row>
    <row r="13" spans="2:7" x14ac:dyDescent="0.45">
      <c r="B13" s="30"/>
      <c r="C13" s="29"/>
    </row>
    <row r="14" spans="2:7" ht="18" x14ac:dyDescent="0.55000000000000004">
      <c r="B14" s="22" t="s">
        <v>65</v>
      </c>
    </row>
    <row r="15" spans="2:7" x14ac:dyDescent="0.45">
      <c r="B15" s="26" t="s">
        <v>60</v>
      </c>
      <c r="C15" s="28" t="s">
        <v>52</v>
      </c>
      <c r="D15" s="26" t="s">
        <v>62</v>
      </c>
      <c r="E15" s="28" t="s">
        <v>52</v>
      </c>
      <c r="F15" s="26" t="s">
        <v>61</v>
      </c>
      <c r="G15" s="28" t="s">
        <v>52</v>
      </c>
    </row>
    <row r="16" spans="2:7" ht="171" x14ac:dyDescent="0.45">
      <c r="B16" s="30" t="s">
        <v>66</v>
      </c>
      <c r="C16" s="29" t="str" cm="1">
        <f t="array" aca="1" ref="C16" ca="1">_xll.Domino.LLM.Quen(B16,_xlfn.CONCAT($C$8,$C$12,$E$12,$G$12))</f>
        <v>### Flaws in Interest Rate Swap (IRS) Argument for THIS Portfolio
**Flaw:** 
The IRS argument assumes that SOFR swaps will perfectly align with the loan's floating-rate payments, which may not always hold true. If the loan's floating-rate payments are highly correlated with SOFR but not perfectly, the swap might not fully offset the interest rate risk, leading to residual exposure.
**Why CDS Handles It Better:**
CDS inherently deals with default risk, which is the primary source of risk for this loan. Even if the interest rate risk is partially uncorrelated with SOFR, the CDS will still protect against the default event, which is the worst-case scenario for the bank. The residual interest rate risk is managed through the CDS, whereas with IRS, any misalignment between the loan's floating-rate payments and SOFR can leave the bank exposed to interest rate fluctuations.
### Flaws in Credit Spread Hedge Argument for THIS Portfolio
**Flaw:**
Credit spread hedges assume that the market credit spread will remain constant or revert to a historical average. However, in reality, credit spreads can widen significantly during economic downturns, leading to higher expected losses even if the market returns to normal levels. This can result in unexpected losses beyond the initial hedge.
**Why CDS Handles It Better:**
CDS provide protection against default, which is the most critical risk. Even if credit spreads widen, the CDS will still pay out if the referenced entity defaults, protecting the bank from the full loss. The credit spread component of the CDS can be structured to reflect the bank's risk tolerance, offering a more flexible and comprehensive risk management solution compared to a static credit spread hedge. The CDS can also be adjusted dynamically to respond to changing market conditions, ensuring that the bank's risk exposure is continuously managed.</v>
      </c>
      <c r="D16" s="30" t="s">
        <v>63</v>
      </c>
      <c r="E16" s="29" t="str" cm="1">
        <f t="array" aca="1" ref="E16" ca="1">_xll.Domino.LLM.Quen(D16,_xlfn.CONCAT($C$8,$C$12,$E$12,$G$12))</f>
        <v>The single most critical flaw in the CDS argument for this portfolio is that while CDS effectively manages the default risk, it does not provide a direct hedge against changes in credit spreads, which is a key component of market credit spread risk. Therefore, if credit spreads widen, the CDS will not protect the portfolio from the increased expected losses. 
For the spread hedge argument, the single most critical flaw is that it doesn't directly address the probability of default, which is crucial for understanding the overall risk exposure. Credit spread hedges focus on managing the risk associated with changes in credit spreads, but they do not necessarily reduce the likelihood or impact of a default event. This means that if the loan defaults, the credit spread hedge won't help absorb the loss; it will simply increase the cost of replacing the defaulted loan.
An SOFR-based interest rate swap handles these flaws better by providing a comprehensive risk management solution. For the default/interest rate risk, the swap can align the floating-rate portion of the loan with the SOFR index, which is less volatile and better reflects current market conditions. This reduces the risk of losses due to interest rate fluctuations. For the market credit spread risk, the swap locks in a fixed interest rate, protecting against potential increases in the risk-free rate that could lead to higher expected losses. Additionally, the flexibility and operational simplicity of SOFR swaps ensure that the portfolio's duration is well-matched to its notional value, further reducing overall risk exposure.</v>
      </c>
      <c r="F16" s="20" t="s">
        <v>64</v>
      </c>
      <c r="G16" s="29" t="str" cm="1">
        <f t="array" aca="1" ref="G16" ca="1">_xll.Domino.LLM.Quen(F16,_xlfn.CONCAT($C$8,$C$12,$E$12,$G$12))</f>
        <v>The single most critical flaw in the CDS argument for this portfolio is the lack of diversification. A single loan's high probability of default (1.25%) means that the CDS exposure is highly concentrated. This concentration makes it difficult to spread the risk effectively, as the bank might face significant losses if multiple loans default simultaneously.
The single most critical flaw in the IRS argument is the inability to hedge against changes in market credit spreads. SOFR-based swaps are designed to mitigate interest rate risk but do not provide protection against shifts in credit spreads. This limitation can be problematic if the credit spreads widen significantly, leading to increased expected losses.
For the portfolio, a spread hedge handles these flaws better because it can be structured to protect against both default and market credit spread risk. A credit spread hedge can be diversified across multiple loans, spreading the risk more evenly. Additionally, a credit spread hedge can include various types of instruments like credit index products, total return swaps, and credit spread options, providing a comprehensive protection against different aspects of credit risk. This diversification allows for a more robust risk management strategy compared to a single loan's high concentration of risk or a focus solely on interest rate risk.</v>
      </c>
    </row>
    <row r="18" spans="2:8" ht="18" x14ac:dyDescent="0.55000000000000004">
      <c r="B18" s="22" t="s">
        <v>67</v>
      </c>
    </row>
    <row r="19" spans="2:8" x14ac:dyDescent="0.45">
      <c r="B19" s="26" t="s">
        <v>77</v>
      </c>
      <c r="C19" s="28" t="s">
        <v>52</v>
      </c>
      <c r="D19" s="26" t="s">
        <v>62</v>
      </c>
      <c r="E19" s="28" t="s">
        <v>52</v>
      </c>
      <c r="F19" s="26" t="s">
        <v>61</v>
      </c>
      <c r="G19" s="28" t="s">
        <v>52</v>
      </c>
    </row>
    <row r="20" spans="2:8" ht="156.75" customHeight="1" x14ac:dyDescent="0.45">
      <c r="B20" s="30" t="s">
        <v>68</v>
      </c>
      <c r="C20" s="29" t="str" cm="1">
        <f t="array" aca="1" ref="C20" ca="1">_xll.Domino.LLM.Quen(B20,_xlfn.CONCAT($G$16,$E$16,$C$16,$C$12,$E$12,$G$12,$C$8))</f>
        <v>### Scenario Where CDS is the Wrong Hedge:
The CDS is the wrong hedge for this portfolio when the loan portfolio experiences a sudden and significant increase in default rates, causing a liquidity crisis for the bank. In such a scenario, the high concentration of risk in the portfolio means that even a small number of defaults can overwhelm the bank's capital reserves, leading to insolvency. CDS, while providing protection against individual defaults, does not address the systemic risk posed by a collective failure of the portfolio. The bank might need to raise additional capital or liquidate assets to meet obligations, leaving the CDS hedge largely ineffective in preventing the collapse of the institution.
### Condition Where CDS is Definitively the Right Choice:
CDS is definitively the right choice over both alternatives when the bank faces a highly fragmented and diversified loan portfolio. Each loan in the portfolio has a low probability of default, and the overall risk is spread across many loans. In this scenario, the individual CDS exposures are small and manageable, and the bank can afford to bear the costs of the premiums. Moreover, CDS provides a form of insurance against catastrophic losses that could arise from a single or a few large defaults, which is crucial for maintaining the stability and solvency of the institution. The ability to transfer risk through CDS allows the bank to maintain its operations and continue serving its customers, even in the face of adverse economic conditions.</v>
      </c>
      <c r="D20" s="30" t="s">
        <v>70</v>
      </c>
      <c r="E20" s="29" t="str" cm="1">
        <f t="array" aca="1" ref="E20" ca="1">_xll.Domino.LLM.Quen(D20,_xlfn.CONCAT($G$16,$E$16,$C$16,$C$12,$E$12,$G$12,$C$8))</f>
        <v>### Scenario Where an IRS is the Wrong Hedge:
An IRS is the wrong hedge for this portfolio when the interest rate environment is highly uncertain and volatile, and the bank lacks the ability to accurately predict future market movements. In such a scenario, locking into a fixed rate via an IRS can lock in losses if market rates move unfavorably relative to the fixed rate locked in by the IRS.
### Condition Where an IRS is Definitively the Right Choice:
An IRS is definitively the right choice when the bank has a clear and stable forecast of future interest rates and is willing to lock in those rates to manage its interest rate risk. This is particularly advantageous when the bank is exposed to variable-rate debt and wants to convert it to a fixed-rate liability to stabilize its income and cash flows, especially in environments where interest rates are expected to rise.</v>
      </c>
      <c r="F20" s="30" t="s">
        <v>69</v>
      </c>
      <c r="G20" s="29" t="str" cm="1">
        <f t="array" aca="1" ref="G20" ca="1">_xll.Domino.LLM.Quen(F20,_xlfn.CONCAT($G$16,$E$16,$C$16,$C$12,$E$12,$G$12,$C$8))</f>
        <v>### Scenario Where a Spread Hedge is the Wrong Choice:
The single most critical flaw in the credit spread hedge argument is the lack of diversification. Given the high probability of default (PD) of 1.25% for a single loan, the credit spread hedge is insufficient because it cannot effectively spread the risk across multiple loans. In a single-loan scenario, the credit spread hedge would be highly concentrated, leaving the bank vulnerable to significant losses if the loan defaults, regardless of changes in credit spreads.
### Condition Where a Spread Hedge is Definitively the Right Choice:
A spread hedge is definitively the right choice when the portfolio is diversified across multiple loans, and the risk is spread out. For example, if the portfolio includes a mix of loans with varying PDs and the credit spread hedge can be structured to protect against both default and changes in credit spreads, the hedge will be more effective. In this case, the credit spread hedge provides a comprehensive risk management solution that addresses both default risk and market credit spread risk, making it a suitable choice for a well-diversified portfolio.</v>
      </c>
    </row>
    <row r="22" spans="2:8" ht="18" x14ac:dyDescent="0.55000000000000004">
      <c r="B22" s="22" t="s">
        <v>74</v>
      </c>
      <c r="H22"/>
    </row>
    <row r="23" spans="2:8" x14ac:dyDescent="0.45">
      <c r="B23" s="26" t="s">
        <v>76</v>
      </c>
      <c r="C23" s="28" t="s">
        <v>52</v>
      </c>
    </row>
    <row r="24" spans="2:8" ht="171" x14ac:dyDescent="0.45">
      <c r="B24" s="30" t="s">
        <v>71</v>
      </c>
      <c r="C24" s="29" t="str" cm="1">
        <f t="array" aca="1" ref="C24" ca="1">_xll.Domino.LLM.Quen(B24,_xlfn.CONCAT($G$16,$E$16,$C$16,$C$12,$E$12,$G$12,$C$8,$C$20,$E$20,$G$20))</f>
        <v>### Assumption Shared by All Three Strategies That May Not Hold:
All strategies rely on the assumption that the loan's probability of default remains constant over time. However, this assumption may not hold, as market conditions, economic indicators, and borrower behavior can change unexpectedly, leading to fluctuations in the loan's default risk.
### Risk Not Addressed by the Decomposition:
One significant risk not adequately addressed by the decomposition is the systemic risk associated with a portfolio's concentration. The bank's reliance on a single loan with a high probability of default creates a vulnerability that is not captured in the decomposition process. If multiple loans default simultaneously, the bank could face severe liquidity issues, potentially leading to insolvency. This systemic risk is not accounted for in the detailed breakdown of individual loan risks but poses a critical threat to the overall portfolio stability.
### Whether a Combination of Instruments Would Outperform Any Single Choice:
Yes, a combination of instruments would likely outperform any single choice. A structured approach that integrates CDS, SOFR-based interest rate swaps, and credit spread hedges can provide a more robust risk management framework. By combining these instruments, the bank can create a diversified portfolio that minimizes the impact of default risk and market credit spread risk. For instance, a CDS can protect against the default event, while SOFR swaps manage interest rate risk and credit spread hedges protect against changes in credit spreads. This hybrid approach leverages the strengths of each instrument to create a comprehensive risk management strategy that is resilient to various market conditions and loan-specific risks.</v>
      </c>
      <c r="D24" s="20"/>
      <c r="E24" s="29"/>
    </row>
    <row r="26" spans="2:8" ht="18" x14ac:dyDescent="0.55000000000000004">
      <c r="B26" s="22" t="s">
        <v>73</v>
      </c>
    </row>
    <row r="27" spans="2:8" x14ac:dyDescent="0.45">
      <c r="B27" s="26" t="s">
        <v>84</v>
      </c>
      <c r="C27" s="28" t="s">
        <v>85</v>
      </c>
    </row>
    <row r="28" spans="2:8" ht="169.15" customHeight="1" x14ac:dyDescent="0.45">
      <c r="B28" s="30" t="s">
        <v>75</v>
      </c>
      <c r="C28" s="32" t="str" cm="1">
        <f t="array" aca="1" ref="C28" ca="1">_xll.Domino.LLM.Quen(B28,_xlfn.CONCAT($C$8,$C$20,$E$20,$G$20,$C$24))</f>
        <v>Hedge Recommendation: Recommend a combination of CDS, SOFR-based interest rate swaps, and credit spread hedges to mitigate both default and market credit spread risks, given the high concentration of risk in the portfolio.
Primary Residual Risk: Systemic risk due to the high probability of default in a single loan, which could lead to insolvency if multiple loans default simultaneously.
Trigger Event: A sudden and significant increase in default rates within the portfolio, causing a liquidity crisis for the bank.</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069F0-6B2D-4B56-A6D6-B566312DFD9B}">
  <dimension ref="B1:K72"/>
  <sheetViews>
    <sheetView workbookViewId="0">
      <selection activeCell="B2" sqref="B2"/>
    </sheetView>
  </sheetViews>
  <sheetFormatPr defaultRowHeight="14.25" x14ac:dyDescent="0.45"/>
  <sheetData>
    <row r="1" spans="2:11" x14ac:dyDescent="0.45">
      <c r="C1" s="33">
        <f>'PoD Calc'!K14</f>
        <v>45293</v>
      </c>
      <c r="D1" s="33">
        <f>'PoD Calc'!K21</f>
        <v>45262</v>
      </c>
      <c r="E1" s="33">
        <f>'PoD Calc'!K28</f>
        <v>45232</v>
      </c>
      <c r="F1" s="33">
        <f>'PoD Calc'!K35</f>
        <v>45201</v>
      </c>
      <c r="H1" t="str">
        <f>_xlfn.CONCAT("Credit Spreads for ", TEXT('PoD Calc'!$K$14, "D-M-YYYY"))</f>
        <v>Credit Spreads for 2-1-2024</v>
      </c>
    </row>
    <row r="2" spans="2:11" x14ac:dyDescent="0.45">
      <c r="B2" s="35">
        <f>'PoD Calc'!M14</f>
        <v>0.25</v>
      </c>
      <c r="C2" s="34">
        <f>'PoD Calc'!O14</f>
        <v>3.7499999999999999E-2</v>
      </c>
      <c r="D2" s="34">
        <f>'PoD Calc'!O21</f>
        <v>3.5999999999999997E-2</v>
      </c>
      <c r="E2" s="34">
        <f>'PoD Calc'!O28</f>
        <v>3.5099999999999999E-2</v>
      </c>
      <c r="F2" s="34">
        <f>'PoD Calc'!O35</f>
        <v>3.5099999999999999E-2</v>
      </c>
      <c r="K2" t="s">
        <v>79</v>
      </c>
    </row>
    <row r="3" spans="2:11" x14ac:dyDescent="0.45">
      <c r="B3" s="35">
        <f>'PoD Calc'!M15</f>
        <v>1</v>
      </c>
      <c r="C3" s="34">
        <f>'PoD Calc'!O15</f>
        <v>3.5700000000000003E-2</v>
      </c>
      <c r="D3" s="34">
        <f>'PoD Calc'!O22</f>
        <v>3.4200000000000001E-2</v>
      </c>
      <c r="E3" s="34">
        <f>'PoD Calc'!O29</f>
        <v>3.3300000000000003E-2</v>
      </c>
      <c r="F3" s="34">
        <f>'PoD Calc'!O36</f>
        <v>3.3300000000000003E-2</v>
      </c>
      <c r="K3" t="s">
        <v>80</v>
      </c>
    </row>
    <row r="4" spans="2:11" x14ac:dyDescent="0.45">
      <c r="B4" s="35">
        <f>'PoD Calc'!M16</f>
        <v>2</v>
      </c>
      <c r="C4" s="34">
        <f>'PoD Calc'!O16</f>
        <v>3.5700000000000003E-2</v>
      </c>
      <c r="D4" s="34">
        <f>'PoD Calc'!O23</f>
        <v>3.4200000000000001E-2</v>
      </c>
      <c r="E4" s="34">
        <f>'PoD Calc'!O30</f>
        <v>3.3300000000000003E-2</v>
      </c>
      <c r="F4" s="34">
        <f>'PoD Calc'!O37</f>
        <v>3.3300000000000003E-2</v>
      </c>
      <c r="K4" t="s">
        <v>81</v>
      </c>
    </row>
    <row r="5" spans="2:11" x14ac:dyDescent="0.45">
      <c r="B5" s="35">
        <f>'PoD Calc'!M17</f>
        <v>3</v>
      </c>
      <c r="C5" s="34">
        <f>'PoD Calc'!O17</f>
        <v>3.6499999999999998E-2</v>
      </c>
      <c r="D5" s="34">
        <f>'PoD Calc'!O24</f>
        <v>3.5000000000000003E-2</v>
      </c>
      <c r="E5" s="34">
        <f>'PoD Calc'!O31</f>
        <v>3.4099999999999998E-2</v>
      </c>
      <c r="F5" s="34">
        <f>'PoD Calc'!O38</f>
        <v>3.4099999999999998E-2</v>
      </c>
      <c r="K5" t="s">
        <v>82</v>
      </c>
    </row>
    <row r="6" spans="2:11" x14ac:dyDescent="0.45">
      <c r="B6" s="35">
        <f>'PoD Calc'!M18</f>
        <v>5</v>
      </c>
      <c r="C6" s="34">
        <f>'PoD Calc'!O18</f>
        <v>3.8399999999999997E-2</v>
      </c>
      <c r="D6" s="34">
        <f>'PoD Calc'!O25</f>
        <v>3.6900000000000002E-2</v>
      </c>
      <c r="E6" s="34">
        <f>'PoD Calc'!O32</f>
        <v>3.5999999999999997E-2</v>
      </c>
      <c r="F6" s="34">
        <f>'PoD Calc'!O39</f>
        <v>3.5999999999999997E-2</v>
      </c>
      <c r="K6" t="s">
        <v>83</v>
      </c>
    </row>
    <row r="7" spans="2:11" x14ac:dyDescent="0.45">
      <c r="B7" s="35">
        <f>'PoD Calc'!M19</f>
        <v>10</v>
      </c>
      <c r="C7" s="34">
        <f>'PoD Calc'!O19</f>
        <v>4.2900000000000001E-2</v>
      </c>
      <c r="D7" s="34">
        <f>'PoD Calc'!O26</f>
        <v>4.1399999999999999E-2</v>
      </c>
      <c r="E7" s="34">
        <f>'PoD Calc'!O33</f>
        <v>4.0500000000000001E-2</v>
      </c>
      <c r="F7" s="34">
        <f>'PoD Calc'!O40</f>
        <v>4.0500000000000001E-2</v>
      </c>
      <c r="K7" t="s">
        <v>83</v>
      </c>
    </row>
    <row r="8" spans="2:11" x14ac:dyDescent="0.45">
      <c r="B8" s="35">
        <f>'PoD Calc'!M20</f>
        <v>30</v>
      </c>
      <c r="C8" s="34">
        <f>'PoD Calc'!O20</f>
        <v>4.5499999999999999E-2</v>
      </c>
      <c r="D8" s="34">
        <f>'PoD Calc'!O27</f>
        <v>4.3999999999999997E-2</v>
      </c>
      <c r="E8" s="34">
        <f>'PoD Calc'!O34</f>
        <v>4.3099999999999999E-2</v>
      </c>
      <c r="F8" s="34">
        <f>'PoD Calc'!O41</f>
        <v>4.3099999999999999E-2</v>
      </c>
      <c r="K8" t="s">
        <v>83</v>
      </c>
    </row>
    <row r="12" spans="2:11" x14ac:dyDescent="0.45">
      <c r="C12" s="33"/>
    </row>
    <row r="13" spans="2:11" x14ac:dyDescent="0.45">
      <c r="C13" s="33"/>
    </row>
    <row r="14" spans="2:11" x14ac:dyDescent="0.45">
      <c r="C14" s="33"/>
    </row>
    <row r="15" spans="2:11" x14ac:dyDescent="0.45">
      <c r="C15" s="33"/>
    </row>
    <row r="16" spans="2:11" x14ac:dyDescent="0.45">
      <c r="C16" s="33"/>
    </row>
    <row r="17" spans="3:3" x14ac:dyDescent="0.45">
      <c r="C17" s="33"/>
    </row>
    <row r="19" spans="3:3" x14ac:dyDescent="0.45">
      <c r="C19" s="33"/>
    </row>
    <row r="20" spans="3:3" x14ac:dyDescent="0.45">
      <c r="C20" s="33"/>
    </row>
    <row r="21" spans="3:3" x14ac:dyDescent="0.45">
      <c r="C21" s="33"/>
    </row>
    <row r="22" spans="3:3" x14ac:dyDescent="0.45">
      <c r="C22" s="33"/>
    </row>
    <row r="23" spans="3:3" x14ac:dyDescent="0.45">
      <c r="C23" s="33"/>
    </row>
    <row r="24" spans="3:3" x14ac:dyDescent="0.45">
      <c r="C24" s="33"/>
    </row>
    <row r="26" spans="3:3" x14ac:dyDescent="0.45">
      <c r="C26" s="33"/>
    </row>
    <row r="27" spans="3:3" x14ac:dyDescent="0.45">
      <c r="C27" s="33"/>
    </row>
    <row r="28" spans="3:3" x14ac:dyDescent="0.45">
      <c r="C28" s="33"/>
    </row>
    <row r="29" spans="3:3" x14ac:dyDescent="0.45">
      <c r="C29" s="33"/>
    </row>
    <row r="30" spans="3:3" x14ac:dyDescent="0.45">
      <c r="C30" s="33"/>
    </row>
    <row r="31" spans="3:3" x14ac:dyDescent="0.45">
      <c r="C31" s="33"/>
    </row>
    <row r="33" spans="3:3" x14ac:dyDescent="0.45">
      <c r="C33" s="33"/>
    </row>
    <row r="34" spans="3:3" x14ac:dyDescent="0.45">
      <c r="C34" s="33"/>
    </row>
    <row r="35" spans="3:3" x14ac:dyDescent="0.45">
      <c r="C35" s="33"/>
    </row>
    <row r="36" spans="3:3" x14ac:dyDescent="0.45">
      <c r="C36" s="33"/>
    </row>
    <row r="37" spans="3:3" x14ac:dyDescent="0.45">
      <c r="C37" s="33"/>
    </row>
    <row r="38" spans="3:3" x14ac:dyDescent="0.45">
      <c r="C38" s="33"/>
    </row>
    <row r="39" spans="3:3" x14ac:dyDescent="0.45">
      <c r="C39" s="33"/>
    </row>
    <row r="40" spans="3:3" x14ac:dyDescent="0.45">
      <c r="C40" s="33"/>
    </row>
    <row r="41" spans="3:3" x14ac:dyDescent="0.45">
      <c r="C41" s="33"/>
    </row>
    <row r="42" spans="3:3" x14ac:dyDescent="0.45">
      <c r="C42" s="33"/>
    </row>
    <row r="43" spans="3:3" x14ac:dyDescent="0.45">
      <c r="C43" s="33"/>
    </row>
    <row r="44" spans="3:3" x14ac:dyDescent="0.45">
      <c r="C44" s="33"/>
    </row>
    <row r="45" spans="3:3" x14ac:dyDescent="0.45">
      <c r="C45" s="33"/>
    </row>
    <row r="46" spans="3:3" x14ac:dyDescent="0.45">
      <c r="C46" s="33"/>
    </row>
    <row r="47" spans="3:3" x14ac:dyDescent="0.45">
      <c r="C47" s="33"/>
    </row>
    <row r="48" spans="3:3" x14ac:dyDescent="0.45">
      <c r="C48" s="33"/>
    </row>
    <row r="49" spans="3:3" x14ac:dyDescent="0.45">
      <c r="C49" s="33"/>
    </row>
    <row r="50" spans="3:3" x14ac:dyDescent="0.45">
      <c r="C50" s="33"/>
    </row>
    <row r="51" spans="3:3" x14ac:dyDescent="0.45">
      <c r="C51" s="33"/>
    </row>
    <row r="52" spans="3:3" x14ac:dyDescent="0.45">
      <c r="C52" s="33"/>
    </row>
    <row r="53" spans="3:3" x14ac:dyDescent="0.45">
      <c r="C53" s="33"/>
    </row>
    <row r="54" spans="3:3" x14ac:dyDescent="0.45">
      <c r="C54" s="33"/>
    </row>
    <row r="55" spans="3:3" x14ac:dyDescent="0.45">
      <c r="C55" s="33"/>
    </row>
    <row r="56" spans="3:3" x14ac:dyDescent="0.45">
      <c r="C56" s="33"/>
    </row>
    <row r="57" spans="3:3" x14ac:dyDescent="0.45">
      <c r="C57" s="33"/>
    </row>
    <row r="58" spans="3:3" x14ac:dyDescent="0.45">
      <c r="C58" s="33"/>
    </row>
    <row r="59" spans="3:3" x14ac:dyDescent="0.45">
      <c r="C59" s="33"/>
    </row>
    <row r="60" spans="3:3" x14ac:dyDescent="0.45">
      <c r="C60" s="33"/>
    </row>
    <row r="61" spans="3:3" x14ac:dyDescent="0.45">
      <c r="C61" s="33"/>
    </row>
    <row r="62" spans="3:3" x14ac:dyDescent="0.45">
      <c r="C62" s="33"/>
    </row>
    <row r="63" spans="3:3" x14ac:dyDescent="0.45">
      <c r="C63" s="33"/>
    </row>
    <row r="64" spans="3:3" x14ac:dyDescent="0.45">
      <c r="C64" s="33"/>
    </row>
    <row r="65" spans="3:3" x14ac:dyDescent="0.45">
      <c r="C65" s="33"/>
    </row>
    <row r="66" spans="3:3" x14ac:dyDescent="0.45">
      <c r="C66" s="33"/>
    </row>
    <row r="67" spans="3:3" x14ac:dyDescent="0.45">
      <c r="C67" s="33"/>
    </row>
    <row r="68" spans="3:3" x14ac:dyDescent="0.45">
      <c r="C68" s="33"/>
    </row>
    <row r="69" spans="3:3" x14ac:dyDescent="0.45">
      <c r="C69" s="33"/>
    </row>
    <row r="70" spans="3:3" x14ac:dyDescent="0.45">
      <c r="C70" s="33"/>
    </row>
    <row r="71" spans="3:3" x14ac:dyDescent="0.45">
      <c r="C71" s="33"/>
    </row>
    <row r="72" spans="3:3" x14ac:dyDescent="0.45">
      <c r="C72" s="3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D311A-4621-47B0-9998-E546D7BD671D}">
  <dimension ref="A1"/>
  <sheetViews>
    <sheetView workbookViewId="0">
      <selection activeCell="G18" sqref="G18"/>
    </sheetView>
  </sheetViews>
  <sheetFormatPr defaultRowHeight="14.25" x14ac:dyDescent="0.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212F-E49E-4914-89C6-4CC3F65F7BE5}">
  <dimension ref="B2:F10"/>
  <sheetViews>
    <sheetView workbookViewId="0">
      <selection activeCell="H5" sqref="H5"/>
    </sheetView>
  </sheetViews>
  <sheetFormatPr defaultRowHeight="14.25" x14ac:dyDescent="0.45"/>
  <sheetData>
    <row r="2" spans="2:6" x14ac:dyDescent="0.45">
      <c r="B2" t="s">
        <v>79</v>
      </c>
    </row>
    <row r="3" spans="2:6" x14ac:dyDescent="0.45">
      <c r="B3" t="s">
        <v>80</v>
      </c>
    </row>
    <row r="4" spans="2:6" x14ac:dyDescent="0.45">
      <c r="B4" t="s">
        <v>81</v>
      </c>
      <c r="F4">
        <v>1</v>
      </c>
    </row>
    <row r="5" spans="2:6" x14ac:dyDescent="0.45">
      <c r="B5" t="s">
        <v>82</v>
      </c>
      <c r="F5">
        <v>2</v>
      </c>
    </row>
    <row r="6" spans="2:6" x14ac:dyDescent="0.45">
      <c r="B6" t="s">
        <v>83</v>
      </c>
      <c r="F6">
        <v>23</v>
      </c>
    </row>
    <row r="7" spans="2:6" x14ac:dyDescent="0.45">
      <c r="B7" t="s">
        <v>83</v>
      </c>
      <c r="C7">
        <v>1</v>
      </c>
      <c r="F7">
        <v>4</v>
      </c>
    </row>
    <row r="8" spans="2:6" x14ac:dyDescent="0.45">
      <c r="B8" t="s">
        <v>83</v>
      </c>
      <c r="C8">
        <v>4</v>
      </c>
      <c r="F8">
        <v>1231</v>
      </c>
    </row>
    <row r="9" spans="2:6" x14ac:dyDescent="0.45">
      <c r="C9">
        <v>3</v>
      </c>
      <c r="F9">
        <f>SUM(F4:F8)</f>
        <v>1261</v>
      </c>
    </row>
    <row r="10" spans="2:6" x14ac:dyDescent="0.45">
      <c r="C10">
        <f>SUM(C7:C9)</f>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1DED5D2CC98C4AA89C805737CFBECB" ma:contentTypeVersion="4" ma:contentTypeDescription="Create a new document." ma:contentTypeScope="" ma:versionID="81f4a24e533ac2af207a9c81ee9b728e">
  <xsd:schema xmlns:xsd="http://www.w3.org/2001/XMLSchema" xmlns:xs="http://www.w3.org/2001/XMLSchema" xmlns:p="http://schemas.microsoft.com/office/2006/metadata/properties" xmlns:ns3="41481ba5-35f0-4be5-9859-351af10c8f85" targetNamespace="http://schemas.microsoft.com/office/2006/metadata/properties" ma:root="true" ma:fieldsID="798f313e93516d74f7e7ea8b22052801" ns3:_="">
    <xsd:import namespace="41481ba5-35f0-4be5-9859-351af10c8f8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481ba5-35f0-4be5-9859-351af10c8f8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58866-D678-44B6-B08F-9252027E5A14}">
  <ds:schemaRefs>
    <ds:schemaRef ds:uri="http://purl.org/dc/elements/1.1/"/>
    <ds:schemaRef ds:uri="http://purl.org/dc/terms/"/>
    <ds:schemaRef ds:uri="http://purl.org/dc/dcmitype/"/>
    <ds:schemaRef ds:uri="http://schemas.microsoft.com/office/2006/metadata/properties"/>
    <ds:schemaRef ds:uri="http://schemas.microsoft.com/office/2006/documentManagement/types"/>
    <ds:schemaRef ds:uri="41481ba5-35f0-4be5-9859-351af10c8f85"/>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64215ED-07DF-4C97-9A6B-F7E2DEBC1BAB}">
  <ds:schemaRefs>
    <ds:schemaRef ds:uri="http://schemas.microsoft.com/sharepoint/v3/contenttype/forms"/>
  </ds:schemaRefs>
</ds:datastoreItem>
</file>

<file path=customXml/itemProps3.xml><?xml version="1.0" encoding="utf-8"?>
<ds:datastoreItem xmlns:ds="http://schemas.openxmlformats.org/officeDocument/2006/customXml" ds:itemID="{F84430E2-C192-4662-B0A2-C2DC66D0F3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481ba5-35f0-4be5-9859-351af10c8f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PoD Calc</vt:lpstr>
      <vt:lpstr>Spreadsheet Agent</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User</dc:creator>
  <cp:lastModifiedBy>Test User</cp:lastModifiedBy>
  <dcterms:created xsi:type="dcterms:W3CDTF">2026-01-16T20:39:58Z</dcterms:created>
  <dcterms:modified xsi:type="dcterms:W3CDTF">2026-03-28T14:38:10Z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2026-01-16T20:45:12Z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ce950676-6ed9-43b6-8493-e253d2adbdd1</vt:lpwstr>
  </property>
  <property fmtid="{D5CDD505-2E9C-101B-9397-08002B2CF9AE}" pid="7" name="MSIP_Label_defa4170-0d19-0005-0004-bc88714345d2_ActionId">
    <vt:lpwstr>44a53379-7f45-4b76-9230-17d7c0a59159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0x010100361DED5D2CC98C4AA89C805737CFBECB</vt:lpwstr>
  </property>
  <property fmtid="{D5CDD505-2E9C-101B-9397-08002B2CF9AE}" pid="11" name="DGT_ModelId">
    <vt:lpwstr>15dbf082-c148-4061-8258-6bcb05b3c306</vt:lpwstr>
  </property>
  <property fmtid="{D5CDD505-2E9C-101B-9397-08002B2CF9AE}" pid="12" name="DGT_ModelName">
    <vt:lpwstr>Model79</vt:lpwstr>
  </property>
  <property fmtid="{D5CDD505-2E9C-101B-9397-08002B2CF9AE}" pid="13" name="DGT_Version">
    <vt:lpwstr>1</vt:lpwstr>
  </property>
</Properties>
</file>